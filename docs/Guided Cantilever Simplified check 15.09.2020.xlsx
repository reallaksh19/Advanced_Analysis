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mkumar.sg\Desktop\"/>
    </mc:Choice>
  </mc:AlternateContent>
  <xr:revisionPtr revIDLastSave="0" documentId="13_ncr:1_{AAB6A552-1A51-46CF-B83C-4BB24408F8F7}" xr6:coauthVersionLast="45" xr6:coauthVersionMax="45" xr10:uidLastSave="{00000000-0000-0000-0000-000000000000}"/>
  <bookViews>
    <workbookView xWindow="-120" yWindow="-120" windowWidth="29040" windowHeight="15840" xr2:uid="{405AEE51-A8C0-4CE6-84BA-4A6CDEDB7D2B}"/>
  </bookViews>
  <sheets>
    <sheet name="Master" sheetId="2" r:id="rId1"/>
    <sheet name="Diameter data" sheetId="6" r:id="rId2"/>
    <sheet name="Thermal Co-efficient data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3" i="2" l="1"/>
  <c r="BD3" i="2" s="1"/>
  <c r="AS3" i="2"/>
  <c r="AT3" i="2"/>
  <c r="AU3" i="2" s="1"/>
  <c r="AV3" i="2" s="1"/>
  <c r="AW3" i="2" s="1"/>
  <c r="AX3" i="2" s="1"/>
  <c r="AY3" i="2" s="1"/>
  <c r="AZ3" i="2" s="1"/>
  <c r="BA3" i="2" s="1"/>
  <c r="BB3" i="2" s="1"/>
  <c r="G46" i="2"/>
  <c r="G47" i="2"/>
  <c r="G48" i="2" s="1"/>
  <c r="G49" i="2" s="1"/>
  <c r="G50" i="2" s="1"/>
  <c r="G51" i="2" s="1"/>
  <c r="G52" i="2" s="1"/>
  <c r="G41" i="2"/>
  <c r="G42" i="2"/>
  <c r="G43" i="2"/>
  <c r="G44" i="2"/>
  <c r="G45" i="2" s="1"/>
  <c r="C13" i="2"/>
  <c r="H8" i="6"/>
  <c r="H5" i="6"/>
  <c r="C3" i="6"/>
  <c r="D3" i="6" s="1"/>
  <c r="F3" i="6" s="1"/>
  <c r="G9" i="6" s="1"/>
  <c r="C22" i="2" l="1"/>
  <c r="H9" i="6"/>
  <c r="I3" i="6" s="1"/>
  <c r="E3" i="6"/>
  <c r="G6" i="6" s="1"/>
  <c r="H6" i="6" s="1"/>
  <c r="H3" i="6" s="1"/>
  <c r="G3" i="6" l="1"/>
  <c r="J3" i="6" s="1"/>
  <c r="K3" i="6" l="1"/>
  <c r="C16" i="2"/>
  <c r="X18" i="2" l="1"/>
  <c r="AM26" i="2"/>
  <c r="AV29" i="2"/>
  <c r="AI31" i="2"/>
  <c r="V33" i="2"/>
  <c r="AT34" i="2"/>
  <c r="L36" i="2"/>
  <c r="AA37" i="2"/>
  <c r="AP38" i="2"/>
  <c r="H40" i="2"/>
  <c r="AR40" i="2"/>
  <c r="AA41" i="2"/>
  <c r="BC41" i="2"/>
  <c r="AA42" i="2"/>
  <c r="AV42" i="2"/>
  <c r="U43" i="2"/>
  <c r="AP43" i="2"/>
  <c r="N44" i="2"/>
  <c r="AJ44" i="2"/>
  <c r="BC44" i="2"/>
  <c r="V45" i="2"/>
  <c r="AL45" i="2"/>
  <c r="BB45" i="2"/>
  <c r="U46" i="2"/>
  <c r="AK46" i="2"/>
  <c r="BA46" i="2"/>
  <c r="T47" i="2"/>
  <c r="AJ47" i="2"/>
  <c r="AZ47" i="2"/>
  <c r="S48" i="2"/>
  <c r="AI48" i="2"/>
  <c r="AY48" i="2"/>
  <c r="R49" i="2"/>
  <c r="AH49" i="2"/>
  <c r="AX49" i="2"/>
  <c r="K50" i="2"/>
  <c r="S50" i="2"/>
  <c r="AA50" i="2"/>
  <c r="AI50" i="2"/>
  <c r="AQ50" i="2"/>
  <c r="AY50" i="2"/>
  <c r="J51" i="2"/>
  <c r="P51" i="2"/>
  <c r="U51" i="2"/>
  <c r="Z51" i="2"/>
  <c r="AF51" i="2"/>
  <c r="AK51" i="2"/>
  <c r="AP51" i="2"/>
  <c r="AV51" i="2"/>
  <c r="BA51" i="2"/>
  <c r="I52" i="2"/>
  <c r="O52" i="2"/>
  <c r="T52" i="2"/>
  <c r="Y52" i="2"/>
  <c r="AE52" i="2"/>
  <c r="AJ52" i="2"/>
  <c r="AO52" i="2"/>
  <c r="AU52" i="2"/>
  <c r="AZ52" i="2"/>
  <c r="AS4" i="2"/>
  <c r="AY4" i="2"/>
  <c r="BD4" i="2"/>
  <c r="N31" i="2"/>
  <c r="AX32" i="2"/>
  <c r="AD34" i="2"/>
  <c r="AS35" i="2"/>
  <c r="AO39" i="2"/>
  <c r="AJ40" i="2"/>
  <c r="V42" i="2"/>
  <c r="AK43" i="2"/>
  <c r="AY44" i="2"/>
  <c r="AX45" i="2"/>
  <c r="AW46" i="2"/>
  <c r="AV47" i="2"/>
  <c r="AU48" i="2"/>
  <c r="AT49" i="2"/>
  <c r="Y50" i="2"/>
  <c r="AW50" i="2"/>
  <c r="T51" i="2"/>
  <c r="AJ51" i="2"/>
  <c r="AZ51" i="2"/>
  <c r="S52" i="2"/>
  <c r="AI52" i="2"/>
  <c r="AY52" i="2"/>
  <c r="BC4" i="2"/>
  <c r="AQ21" i="2"/>
  <c r="BB27" i="2"/>
  <c r="T30" i="2"/>
  <c r="BD31" i="2"/>
  <c r="AR33" i="2"/>
  <c r="M35" i="2"/>
  <c r="AB36" i="2"/>
  <c r="AQ37" i="2"/>
  <c r="I39" i="2"/>
  <c r="T40" i="2"/>
  <c r="AZ40" i="2"/>
  <c r="AI41" i="2"/>
  <c r="K42" i="2"/>
  <c r="AF42" i="2"/>
  <c r="BB42" i="2"/>
  <c r="Z43" i="2"/>
  <c r="AU43" i="2"/>
  <c r="T44" i="2"/>
  <c r="AO44" i="2"/>
  <c r="J45" i="2"/>
  <c r="Z45" i="2"/>
  <c r="AP45" i="2"/>
  <c r="I46" i="2"/>
  <c r="Y46" i="2"/>
  <c r="AO46" i="2"/>
  <c r="H47" i="2"/>
  <c r="X47" i="2"/>
  <c r="AN47" i="2"/>
  <c r="BD47" i="2"/>
  <c r="W48" i="2"/>
  <c r="AM48" i="2"/>
  <c r="BC48" i="2"/>
  <c r="V49" i="2"/>
  <c r="AL49" i="2"/>
  <c r="BB49" i="2"/>
  <c r="M50" i="2"/>
  <c r="U50" i="2"/>
  <c r="AC50" i="2"/>
  <c r="AK50" i="2"/>
  <c r="AS50" i="2"/>
  <c r="BA50" i="2"/>
  <c r="L51" i="2"/>
  <c r="Q51" i="2"/>
  <c r="V51" i="2"/>
  <c r="AB51" i="2"/>
  <c r="AG51" i="2"/>
  <c r="AL51" i="2"/>
  <c r="AR51" i="2"/>
  <c r="AW51" i="2"/>
  <c r="BB51" i="2"/>
  <c r="K52" i="2"/>
  <c r="P52" i="2"/>
  <c r="U52" i="2"/>
  <c r="AA52" i="2"/>
  <c r="AF52" i="2"/>
  <c r="AK52" i="2"/>
  <c r="AQ52" i="2"/>
  <c r="AV52" i="2"/>
  <c r="BA52" i="2"/>
  <c r="AU4" i="2"/>
  <c r="AZ4" i="2"/>
  <c r="U29" i="2"/>
  <c r="Z38" i="2"/>
  <c r="S41" i="2"/>
  <c r="AQ42" i="2"/>
  <c r="I44" i="2"/>
  <c r="R45" i="2"/>
  <c r="Q46" i="2"/>
  <c r="P47" i="2"/>
  <c r="O48" i="2"/>
  <c r="N49" i="2"/>
  <c r="I50" i="2"/>
  <c r="AG50" i="2"/>
  <c r="H51" i="2"/>
  <c r="Y51" i="2"/>
  <c r="AO51" i="2"/>
  <c r="H52" i="2"/>
  <c r="X52" i="2"/>
  <c r="AN52" i="2"/>
  <c r="BD52" i="2"/>
  <c r="AE23" i="2"/>
  <c r="AL28" i="2"/>
  <c r="AO30" i="2"/>
  <c r="AC32" i="2"/>
  <c r="N34" i="2"/>
  <c r="AC35" i="2"/>
  <c r="AR36" i="2"/>
  <c r="J38" i="2"/>
  <c r="Y39" i="2"/>
  <c r="AB40" i="2"/>
  <c r="K41" i="2"/>
  <c r="AQ41" i="2"/>
  <c r="P42" i="2"/>
  <c r="AL42" i="2"/>
  <c r="J43" i="2"/>
  <c r="AE43" i="2"/>
  <c r="BA43" i="2"/>
  <c r="Y44" i="2"/>
  <c r="AT44" i="2"/>
  <c r="N45" i="2"/>
  <c r="AD45" i="2"/>
  <c r="AT45" i="2"/>
  <c r="M46" i="2"/>
  <c r="AC46" i="2"/>
  <c r="AS46" i="2"/>
  <c r="L47" i="2"/>
  <c r="AB47" i="2"/>
  <c r="AR47" i="2"/>
  <c r="K48" i="2"/>
  <c r="AA48" i="2"/>
  <c r="AQ48" i="2"/>
  <c r="J49" i="2"/>
  <c r="Z49" i="2"/>
  <c r="AP49" i="2"/>
  <c r="BD49" i="2"/>
  <c r="O50" i="2"/>
  <c r="W50" i="2"/>
  <c r="AE50" i="2"/>
  <c r="AM50" i="2"/>
  <c r="AU50" i="2"/>
  <c r="BC50" i="2"/>
  <c r="M51" i="2"/>
  <c r="R51" i="2"/>
  <c r="X51" i="2"/>
  <c r="AC51" i="2"/>
  <c r="AH51" i="2"/>
  <c r="AN51" i="2"/>
  <c r="AS51" i="2"/>
  <c r="AX51" i="2"/>
  <c r="BD51" i="2"/>
  <c r="L52" i="2"/>
  <c r="Q52" i="2"/>
  <c r="W52" i="2"/>
  <c r="AB52" i="2"/>
  <c r="AG52" i="2"/>
  <c r="AM52" i="2"/>
  <c r="AR52" i="2"/>
  <c r="AW52" i="2"/>
  <c r="BC52" i="2"/>
  <c r="AV4" i="2"/>
  <c r="BA4" i="2"/>
  <c r="R25" i="2"/>
  <c r="K37" i="2"/>
  <c r="AW41" i="2"/>
  <c r="O43" i="2"/>
  <c r="AD44" i="2"/>
  <c r="AH45" i="2"/>
  <c r="AG46" i="2"/>
  <c r="AF47" i="2"/>
  <c r="AE48" i="2"/>
  <c r="AD49" i="2"/>
  <c r="Q50" i="2"/>
  <c r="AO50" i="2"/>
  <c r="N51" i="2"/>
  <c r="AD51" i="2"/>
  <c r="AT51" i="2"/>
  <c r="M52" i="2"/>
  <c r="AC52" i="2"/>
  <c r="AS52" i="2"/>
  <c r="AW4" i="2"/>
  <c r="U5" i="2"/>
  <c r="AK5" i="2"/>
  <c r="BA5" i="2"/>
  <c r="T6" i="2"/>
  <c r="AJ6" i="2"/>
  <c r="AZ6" i="2"/>
  <c r="S7" i="2"/>
  <c r="AI7" i="2"/>
  <c r="AY7" i="2"/>
  <c r="R8" i="2"/>
  <c r="AH8" i="2"/>
  <c r="AX8" i="2"/>
  <c r="Q9" i="2"/>
  <c r="AG9" i="2"/>
  <c r="AW9" i="2"/>
  <c r="P10" i="2"/>
  <c r="AF10" i="2"/>
  <c r="AV10" i="2"/>
  <c r="O11" i="2"/>
  <c r="AE11" i="2"/>
  <c r="AU11" i="2"/>
  <c r="R5" i="2"/>
  <c r="AH5" i="2"/>
  <c r="AX5" i="2"/>
  <c r="Q6" i="2"/>
  <c r="AG6" i="2"/>
  <c r="AW6" i="2"/>
  <c r="P7" i="2"/>
  <c r="AF7" i="2"/>
  <c r="AV7" i="2"/>
  <c r="O8" i="2"/>
  <c r="AE8" i="2"/>
  <c r="AU8" i="2"/>
  <c r="N9" i="2"/>
  <c r="AD9" i="2"/>
  <c r="AT9" i="2"/>
  <c r="M10" i="2"/>
  <c r="AC10" i="2"/>
  <c r="AS10" i="2"/>
  <c r="L11" i="2"/>
  <c r="AB11" i="2"/>
  <c r="AR11" i="2"/>
  <c r="O5" i="2"/>
  <c r="AE5" i="2"/>
  <c r="AU5" i="2"/>
  <c r="N6" i="2"/>
  <c r="AD6" i="2"/>
  <c r="AT6" i="2"/>
  <c r="M7" i="2"/>
  <c r="AC7" i="2"/>
  <c r="AS7" i="2"/>
  <c r="L8" i="2"/>
  <c r="AB8" i="2"/>
  <c r="AR8" i="2"/>
  <c r="K9" i="2"/>
  <c r="AA9" i="2"/>
  <c r="AQ9" i="2"/>
  <c r="J10" i="2"/>
  <c r="Z10" i="2"/>
  <c r="AP10" i="2"/>
  <c r="I11" i="2"/>
  <c r="Y11" i="2"/>
  <c r="AO11" i="2"/>
  <c r="H5" i="2"/>
  <c r="W6" i="2"/>
  <c r="AL7" i="2"/>
  <c r="BA8" i="2"/>
  <c r="S10" i="2"/>
  <c r="AH11" i="2"/>
  <c r="P12" i="2"/>
  <c r="AF12" i="2"/>
  <c r="K6" i="2"/>
  <c r="Z7" i="2"/>
  <c r="AO8" i="2"/>
  <c r="BD9" i="2"/>
  <c r="V11" i="2"/>
  <c r="M12" i="2"/>
  <c r="AC12" i="2"/>
  <c r="AV5" i="2"/>
  <c r="N7" i="2"/>
  <c r="AC8" i="2"/>
  <c r="AR9" i="2"/>
  <c r="J11" i="2"/>
  <c r="J12" i="2"/>
  <c r="Z12" i="2"/>
  <c r="AP12" i="2"/>
  <c r="I13" i="2"/>
  <c r="I5" i="2"/>
  <c r="Y5" i="2"/>
  <c r="AO5" i="2"/>
  <c r="H6" i="2"/>
  <c r="X6" i="2"/>
  <c r="AN6" i="2"/>
  <c r="BD6" i="2"/>
  <c r="W7" i="2"/>
  <c r="AM7" i="2"/>
  <c r="BC7" i="2"/>
  <c r="V8" i="2"/>
  <c r="AL8" i="2"/>
  <c r="BB8" i="2"/>
  <c r="U9" i="2"/>
  <c r="AK9" i="2"/>
  <c r="BA9" i="2"/>
  <c r="T10" i="2"/>
  <c r="AJ10" i="2"/>
  <c r="AZ10" i="2"/>
  <c r="S11" i="2"/>
  <c r="AI11" i="2"/>
  <c r="AY11" i="2"/>
  <c r="V5" i="2"/>
  <c r="AL5" i="2"/>
  <c r="BB5" i="2"/>
  <c r="U6" i="2"/>
  <c r="AK6" i="2"/>
  <c r="BA6" i="2"/>
  <c r="T7" i="2"/>
  <c r="AJ7" i="2"/>
  <c r="AZ7" i="2"/>
  <c r="S8" i="2"/>
  <c r="AI8" i="2"/>
  <c r="AY8" i="2"/>
  <c r="R9" i="2"/>
  <c r="AH9" i="2"/>
  <c r="AX9" i="2"/>
  <c r="Q10" i="2"/>
  <c r="AG10" i="2"/>
  <c r="AW10" i="2"/>
  <c r="P11" i="2"/>
  <c r="AF11" i="2"/>
  <c r="AV11" i="2"/>
  <c r="S5" i="2"/>
  <c r="AI5" i="2"/>
  <c r="AY5" i="2"/>
  <c r="R6" i="2"/>
  <c r="AH6" i="2"/>
  <c r="AX6" i="2"/>
  <c r="Q7" i="2"/>
  <c r="AG7" i="2"/>
  <c r="AW7" i="2"/>
  <c r="P8" i="2"/>
  <c r="AF8" i="2"/>
  <c r="AV8" i="2"/>
  <c r="O9" i="2"/>
  <c r="AE9" i="2"/>
  <c r="AU9" i="2"/>
  <c r="N10" i="2"/>
  <c r="AD10" i="2"/>
  <c r="AT10" i="2"/>
  <c r="M11" i="2"/>
  <c r="AC11" i="2"/>
  <c r="AS11" i="2"/>
  <c r="X5" i="2"/>
  <c r="AM6" i="2"/>
  <c r="BB7" i="2"/>
  <c r="T9" i="2"/>
  <c r="AI10" i="2"/>
  <c r="AX11" i="2"/>
  <c r="T12" i="2"/>
  <c r="L5" i="2"/>
  <c r="AA6" i="2"/>
  <c r="AP7" i="2"/>
  <c r="H9" i="2"/>
  <c r="W10" i="2"/>
  <c r="AL11" i="2"/>
  <c r="Q12" i="2"/>
  <c r="AG12" i="2"/>
  <c r="O6" i="2"/>
  <c r="AD7" i="2"/>
  <c r="AS8" i="2"/>
  <c r="K10" i="2"/>
  <c r="Z11" i="2"/>
  <c r="N12" i="2"/>
  <c r="AG5" i="2"/>
  <c r="P6" i="2"/>
  <c r="AV6" i="2"/>
  <c r="AE7" i="2"/>
  <c r="N8" i="2"/>
  <c r="AT8" i="2"/>
  <c r="AC9" i="2"/>
  <c r="L10" i="2"/>
  <c r="AR10" i="2"/>
  <c r="AA11" i="2"/>
  <c r="N5" i="2"/>
  <c r="AT5" i="2"/>
  <c r="AC6" i="2"/>
  <c r="L7" i="2"/>
  <c r="AR7" i="2"/>
  <c r="AA8" i="2"/>
  <c r="J9" i="2"/>
  <c r="AP9" i="2"/>
  <c r="Y10" i="2"/>
  <c r="H11" i="2"/>
  <c r="AN11" i="2"/>
  <c r="AA5" i="2"/>
  <c r="J6" i="2"/>
  <c r="AP6" i="2"/>
  <c r="Y7" i="2"/>
  <c r="H8" i="2"/>
  <c r="AN8" i="2"/>
  <c r="W9" i="2"/>
  <c r="BC9" i="2"/>
  <c r="AL10" i="2"/>
  <c r="U11" i="2"/>
  <c r="BA11" i="2"/>
  <c r="V7" i="2"/>
  <c r="AZ9" i="2"/>
  <c r="L12" i="2"/>
  <c r="AR5" i="2"/>
  <c r="Y8" i="2"/>
  <c r="BC10" i="2"/>
  <c r="Y12" i="2"/>
  <c r="AU6" i="2"/>
  <c r="AB9" i="2"/>
  <c r="BC11" i="2"/>
  <c r="AH12" i="2"/>
  <c r="BB12" i="2"/>
  <c r="Y13" i="2"/>
  <c r="AO13" i="2"/>
  <c r="H14" i="2"/>
  <c r="X14" i="2"/>
  <c r="AN14" i="2"/>
  <c r="BD14" i="2"/>
  <c r="W15" i="2"/>
  <c r="AM15" i="2"/>
  <c r="BC15" i="2"/>
  <c r="V16" i="2"/>
  <c r="AL16" i="2"/>
  <c r="BB16" i="2"/>
  <c r="AI6" i="2"/>
  <c r="AT11" i="2"/>
  <c r="AS12" i="2"/>
  <c r="R13" i="2"/>
  <c r="AM13" i="2"/>
  <c r="K14" i="2"/>
  <c r="AG14" i="2"/>
  <c r="BB14" i="2"/>
  <c r="Z15" i="2"/>
  <c r="AV15" i="2"/>
  <c r="T16" i="2"/>
  <c r="AO16" i="2"/>
  <c r="N17" i="2"/>
  <c r="AD17" i="2"/>
  <c r="AT17" i="2"/>
  <c r="M18" i="2"/>
  <c r="AC18" i="2"/>
  <c r="AS18" i="2"/>
  <c r="L19" i="2"/>
  <c r="AB19" i="2"/>
  <c r="AR19" i="2"/>
  <c r="AJ5" i="2"/>
  <c r="AU10" i="2"/>
  <c r="AO12" i="2"/>
  <c r="N13" i="2"/>
  <c r="AI13" i="2"/>
  <c r="BD13" i="2"/>
  <c r="AC14" i="2"/>
  <c r="AX14" i="2"/>
  <c r="V15" i="2"/>
  <c r="AR15" i="2"/>
  <c r="P16" i="2"/>
  <c r="AK16" i="2"/>
  <c r="J17" i="2"/>
  <c r="AA17" i="2"/>
  <c r="AQ17" i="2"/>
  <c r="J18" i="2"/>
  <c r="Z18" i="2"/>
  <c r="AP18" i="2"/>
  <c r="I19" i="2"/>
  <c r="Y19" i="2"/>
  <c r="AO19" i="2"/>
  <c r="H20" i="2"/>
  <c r="X20" i="2"/>
  <c r="AN20" i="2"/>
  <c r="BD20" i="2"/>
  <c r="W21" i="2"/>
  <c r="AZ5" i="2"/>
  <c r="N11" i="2"/>
  <c r="AQ12" i="2"/>
  <c r="O13" i="2"/>
  <c r="AJ13" i="2"/>
  <c r="I14" i="2"/>
  <c r="AD14" i="2"/>
  <c r="AY14" i="2"/>
  <c r="X15" i="2"/>
  <c r="AS15" i="2"/>
  <c r="Q16" i="2"/>
  <c r="AM16" i="2"/>
  <c r="K17" i="2"/>
  <c r="AB17" i="2"/>
  <c r="AR17" i="2"/>
  <c r="K18" i="2"/>
  <c r="AA18" i="2"/>
  <c r="AQ18" i="2"/>
  <c r="J19" i="2"/>
  <c r="Z19" i="2"/>
  <c r="AP19" i="2"/>
  <c r="I20" i="2"/>
  <c r="Y20" i="2"/>
  <c r="AO20" i="2"/>
  <c r="H21" i="2"/>
  <c r="X21" i="2"/>
  <c r="AN21" i="2"/>
  <c r="BD21" i="2"/>
  <c r="W22" i="2"/>
  <c r="AM22" i="2"/>
  <c r="BC22" i="2"/>
  <c r="V23" i="2"/>
  <c r="AL23" i="2"/>
  <c r="BB23" i="2"/>
  <c r="U24" i="2"/>
  <c r="AK24" i="2"/>
  <c r="BA24" i="2"/>
  <c r="T25" i="2"/>
  <c r="AJ25" i="2"/>
  <c r="AR12" i="2"/>
  <c r="AE14" i="2"/>
  <c r="S16" i="2"/>
  <c r="AS17" i="2"/>
  <c r="K19" i="2"/>
  <c r="R20" i="2"/>
  <c r="AX20" i="2"/>
  <c r="AG21" i="2"/>
  <c r="BC21" i="2"/>
  <c r="AB22" i="2"/>
  <c r="AW22" i="2"/>
  <c r="U23" i="2"/>
  <c r="AQ23" i="2"/>
  <c r="O24" i="2"/>
  <c r="AJ24" i="2"/>
  <c r="I25" i="2"/>
  <c r="AD25" i="2"/>
  <c r="AW25" i="2"/>
  <c r="P26" i="2"/>
  <c r="AF26" i="2"/>
  <c r="AV26" i="2"/>
  <c r="O27" i="2"/>
  <c r="AE27" i="2"/>
  <c r="AU27" i="2"/>
  <c r="O12" i="2"/>
  <c r="M5" i="2"/>
  <c r="AS5" i="2"/>
  <c r="AB6" i="2"/>
  <c r="K7" i="2"/>
  <c r="AQ7" i="2"/>
  <c r="Z8" i="2"/>
  <c r="I9" i="2"/>
  <c r="AO9" i="2"/>
  <c r="X10" i="2"/>
  <c r="BD10" i="2"/>
  <c r="AM11" i="2"/>
  <c r="Z5" i="2"/>
  <c r="I6" i="2"/>
  <c r="AO6" i="2"/>
  <c r="X7" i="2"/>
  <c r="BD7" i="2"/>
  <c r="AM8" i="2"/>
  <c r="V9" i="2"/>
  <c r="BB9" i="2"/>
  <c r="AK10" i="2"/>
  <c r="T11" i="2"/>
  <c r="AZ11" i="2"/>
  <c r="AM5" i="2"/>
  <c r="V6" i="2"/>
  <c r="BB6" i="2"/>
  <c r="AK7" i="2"/>
  <c r="T8" i="2"/>
  <c r="AZ8" i="2"/>
  <c r="AI9" i="2"/>
  <c r="R10" i="2"/>
  <c r="AX10" i="2"/>
  <c r="AG11" i="2"/>
  <c r="AN5" i="2"/>
  <c r="U8" i="2"/>
  <c r="AY10" i="2"/>
  <c r="X12" i="2"/>
  <c r="AQ6" i="2"/>
  <c r="X9" i="2"/>
  <c r="BB11" i="2"/>
  <c r="P5" i="2"/>
  <c r="AT7" i="2"/>
  <c r="AA10" i="2"/>
  <c r="R12" i="2"/>
  <c r="AL12" i="2"/>
  <c r="M13" i="2"/>
  <c r="AC13" i="2"/>
  <c r="AS13" i="2"/>
  <c r="L14" i="2"/>
  <c r="AB14" i="2"/>
  <c r="AR14" i="2"/>
  <c r="K15" i="2"/>
  <c r="AA15" i="2"/>
  <c r="AQ15" i="2"/>
  <c r="J16" i="2"/>
  <c r="Z16" i="2"/>
  <c r="AP16" i="2"/>
  <c r="I17" i="2"/>
  <c r="AX7" i="2"/>
  <c r="S12" i="2"/>
  <c r="AY12" i="2"/>
  <c r="W13" i="2"/>
  <c r="AR13" i="2"/>
  <c r="Q14" i="2"/>
  <c r="AL14" i="2"/>
  <c r="J15" i="2"/>
  <c r="AF15" i="2"/>
  <c r="BA15" i="2"/>
  <c r="Y16" i="2"/>
  <c r="AU16" i="2"/>
  <c r="R17" i="2"/>
  <c r="AH17" i="2"/>
  <c r="AX17" i="2"/>
  <c r="Q18" i="2"/>
  <c r="AG18" i="2"/>
  <c r="AW18" i="2"/>
  <c r="P19" i="2"/>
  <c r="AF19" i="2"/>
  <c r="AV19" i="2"/>
  <c r="AY6" i="2"/>
  <c r="BD11" i="2"/>
  <c r="AU12" i="2"/>
  <c r="S13" i="2"/>
  <c r="AN13" i="2"/>
  <c r="M14" i="2"/>
  <c r="AH14" i="2"/>
  <c r="BC14" i="2"/>
  <c r="AB15" i="2"/>
  <c r="AW15" i="2"/>
  <c r="U16" i="2"/>
  <c r="AQ16" i="2"/>
  <c r="O17" i="2"/>
  <c r="AE17" i="2"/>
  <c r="AU17" i="2"/>
  <c r="N18" i="2"/>
  <c r="AD18" i="2"/>
  <c r="AT18" i="2"/>
  <c r="M19" i="2"/>
  <c r="AC19" i="2"/>
  <c r="AS19" i="2"/>
  <c r="L20" i="2"/>
  <c r="AB20" i="2"/>
  <c r="AR20" i="2"/>
  <c r="K21" i="2"/>
  <c r="AA21" i="2"/>
  <c r="R7" i="2"/>
  <c r="K12" i="2"/>
  <c r="AV12" i="2"/>
  <c r="T13" i="2"/>
  <c r="AP13" i="2"/>
  <c r="N14" i="2"/>
  <c r="AI14" i="2"/>
  <c r="H15" i="2"/>
  <c r="AC15" i="2"/>
  <c r="AX15" i="2"/>
  <c r="W16" i="2"/>
  <c r="AR16" i="2"/>
  <c r="P17" i="2"/>
  <c r="AF17" i="2"/>
  <c r="AV17" i="2"/>
  <c r="O18" i="2"/>
  <c r="AE18" i="2"/>
  <c r="AU18" i="2"/>
  <c r="N19" i="2"/>
  <c r="AD19" i="2"/>
  <c r="AT19" i="2"/>
  <c r="M20" i="2"/>
  <c r="AC20" i="2"/>
  <c r="AS20" i="2"/>
  <c r="L21" i="2"/>
  <c r="AB21" i="2"/>
  <c r="AR21" i="2"/>
  <c r="K22" i="2"/>
  <c r="AA22" i="2"/>
  <c r="AQ22" i="2"/>
  <c r="J23" i="2"/>
  <c r="Z23" i="2"/>
  <c r="AP23" i="2"/>
  <c r="I24" i="2"/>
  <c r="Y24" i="2"/>
  <c r="AO24" i="2"/>
  <c r="H25" i="2"/>
  <c r="X25" i="2"/>
  <c r="AN25" i="2"/>
  <c r="P13" i="2"/>
  <c r="BA14" i="2"/>
  <c r="AN16" i="2"/>
  <c r="L18" i="2"/>
  <c r="AA19" i="2"/>
  <c r="Z20" i="2"/>
  <c r="I21" i="2"/>
  <c r="AM21" i="2"/>
  <c r="L22" i="2"/>
  <c r="AG22" i="2"/>
  <c r="BB22" i="2"/>
  <c r="AA23" i="2"/>
  <c r="AV23" i="2"/>
  <c r="T24" i="2"/>
  <c r="AP24" i="2"/>
  <c r="N25" i="2"/>
  <c r="AI25" i="2"/>
  <c r="BA25" i="2"/>
  <c r="T26" i="2"/>
  <c r="AJ26" i="2"/>
  <c r="AZ26" i="2"/>
  <c r="S27" i="2"/>
  <c r="AI27" i="2"/>
  <c r="AY27" i="2"/>
  <c r="AW12" i="2"/>
  <c r="AK14" i="2"/>
  <c r="X16" i="2"/>
  <c r="L6" i="2"/>
  <c r="AA7" i="2"/>
  <c r="AP8" i="2"/>
  <c r="H10" i="2"/>
  <c r="W11" i="2"/>
  <c r="AP5" i="2"/>
  <c r="H7" i="2"/>
  <c r="W8" i="2"/>
  <c r="AL9" i="2"/>
  <c r="BA10" i="2"/>
  <c r="W5" i="2"/>
  <c r="AL6" i="2"/>
  <c r="BA7" i="2"/>
  <c r="S9" i="2"/>
  <c r="AH10" i="2"/>
  <c r="AW11" i="2"/>
  <c r="AJ9" i="2"/>
  <c r="AB5" i="2"/>
  <c r="AM10" i="2"/>
  <c r="AE6" i="2"/>
  <c r="AP11" i="2"/>
  <c r="AX12" i="2"/>
  <c r="AK13" i="2"/>
  <c r="T14" i="2"/>
  <c r="AZ14" i="2"/>
  <c r="AI15" i="2"/>
  <c r="R16" i="2"/>
  <c r="AX16" i="2"/>
  <c r="AE10" i="2"/>
  <c r="L13" i="2"/>
  <c r="BC13" i="2"/>
  <c r="AW14" i="2"/>
  <c r="AP15" i="2"/>
  <c r="AJ16" i="2"/>
  <c r="Z17" i="2"/>
  <c r="I18" i="2"/>
  <c r="AO18" i="2"/>
  <c r="X19" i="2"/>
  <c r="BD19" i="2"/>
  <c r="AJ12" i="2"/>
  <c r="AD13" i="2"/>
  <c r="W14" i="2"/>
  <c r="Q15" i="2"/>
  <c r="K16" i="2"/>
  <c r="BA16" i="2"/>
  <c r="AM17" i="2"/>
  <c r="V18" i="2"/>
  <c r="BB18" i="2"/>
  <c r="AK19" i="2"/>
  <c r="T20" i="2"/>
  <c r="AZ20" i="2"/>
  <c r="AI21" i="2"/>
  <c r="AK12" i="2"/>
  <c r="AE13" i="2"/>
  <c r="Y14" i="2"/>
  <c r="R15" i="2"/>
  <c r="L16" i="2"/>
  <c r="BC16" i="2"/>
  <c r="AN17" i="2"/>
  <c r="W18" i="2"/>
  <c r="BC18" i="2"/>
  <c r="AL19" i="2"/>
  <c r="U20" i="2"/>
  <c r="BA20" i="2"/>
  <c r="AJ21" i="2"/>
  <c r="S22" i="2"/>
  <c r="AY22" i="2"/>
  <c r="AH23" i="2"/>
  <c r="Q24" i="2"/>
  <c r="AW24" i="2"/>
  <c r="AF25" i="2"/>
  <c r="J14" i="2"/>
  <c r="AC17" i="2"/>
  <c r="J20" i="2"/>
  <c r="Y21" i="2"/>
  <c r="V22" i="2"/>
  <c r="P23" i="2"/>
  <c r="J24" i="2"/>
  <c r="AZ24" i="2"/>
  <c r="AS25" i="2"/>
  <c r="AB26" i="2"/>
  <c r="K27" i="2"/>
  <c r="AQ27" i="2"/>
  <c r="AQ13" i="2"/>
  <c r="AZ15" i="2"/>
  <c r="AW17" i="2"/>
  <c r="O19" i="2"/>
  <c r="S20" i="2"/>
  <c r="AY20" i="2"/>
  <c r="AH21" i="2"/>
  <c r="H22" i="2"/>
  <c r="AC22" i="2"/>
  <c r="AX22" i="2"/>
  <c r="W23" i="2"/>
  <c r="AR23" i="2"/>
  <c r="P24" i="2"/>
  <c r="AL24" i="2"/>
  <c r="J25" i="2"/>
  <c r="AE25" i="2"/>
  <c r="AX25" i="2"/>
  <c r="Q26" i="2"/>
  <c r="AG26" i="2"/>
  <c r="AW26" i="2"/>
  <c r="P27" i="2"/>
  <c r="AF27" i="2"/>
  <c r="AV27" i="2"/>
  <c r="O28" i="2"/>
  <c r="AE28" i="2"/>
  <c r="AU28" i="2"/>
  <c r="N29" i="2"/>
  <c r="AD29" i="2"/>
  <c r="BC12" i="2"/>
  <c r="AP14" i="2"/>
  <c r="AC16" i="2"/>
  <c r="BA17" i="2"/>
  <c r="S19" i="2"/>
  <c r="V20" i="2"/>
  <c r="BB20" i="2"/>
  <c r="AK21" i="2"/>
  <c r="I22" i="2"/>
  <c r="AD22" i="2"/>
  <c r="AZ22" i="2"/>
  <c r="X23" i="2"/>
  <c r="AS23" i="2"/>
  <c r="R24" i="2"/>
  <c r="AM24" i="2"/>
  <c r="K25" i="2"/>
  <c r="AG25" i="2"/>
  <c r="AY25" i="2"/>
  <c r="R26" i="2"/>
  <c r="AH26" i="2"/>
  <c r="AX26" i="2"/>
  <c r="Q27" i="2"/>
  <c r="AG27" i="2"/>
  <c r="AW27" i="2"/>
  <c r="P28" i="2"/>
  <c r="AF28" i="2"/>
  <c r="AV28" i="2"/>
  <c r="O29" i="2"/>
  <c r="AE29" i="2"/>
  <c r="AU29" i="2"/>
  <c r="N30" i="2"/>
  <c r="AD30" i="2"/>
  <c r="AT30" i="2"/>
  <c r="M31" i="2"/>
  <c r="AC31" i="2"/>
  <c r="AS31" i="2"/>
  <c r="L32" i="2"/>
  <c r="AB32" i="2"/>
  <c r="AR32" i="2"/>
  <c r="K33" i="2"/>
  <c r="AA33" i="2"/>
  <c r="AQ33" i="2"/>
  <c r="O10" i="2"/>
  <c r="AN18" i="2"/>
  <c r="AW21" i="2"/>
  <c r="AJ23" i="2"/>
  <c r="W25" i="2"/>
  <c r="AQ26" i="2"/>
  <c r="I28" i="2"/>
  <c r="AO28" i="2"/>
  <c r="X29" i="2"/>
  <c r="AW29" i="2"/>
  <c r="U30" i="2"/>
  <c r="AQ30" i="2"/>
  <c r="O31" i="2"/>
  <c r="AJ31" i="2"/>
  <c r="I32" i="2"/>
  <c r="AD32" i="2"/>
  <c r="AY32" i="2"/>
  <c r="Q5" i="2"/>
  <c r="AF6" i="2"/>
  <c r="AU7" i="2"/>
  <c r="M9" i="2"/>
  <c r="AB10" i="2"/>
  <c r="AQ11" i="2"/>
  <c r="M6" i="2"/>
  <c r="AB7" i="2"/>
  <c r="AQ8" i="2"/>
  <c r="I10" i="2"/>
  <c r="X11" i="2"/>
  <c r="AQ5" i="2"/>
  <c r="I7" i="2"/>
  <c r="X8" i="2"/>
  <c r="AM9" i="2"/>
  <c r="BB10" i="2"/>
  <c r="BD5" i="2"/>
  <c r="R11" i="2"/>
  <c r="J7" i="2"/>
  <c r="I12" i="2"/>
  <c r="M8" i="2"/>
  <c r="V12" i="2"/>
  <c r="Q13" i="2"/>
  <c r="AW13" i="2"/>
  <c r="AF14" i="2"/>
  <c r="O15" i="2"/>
  <c r="AU15" i="2"/>
  <c r="AD16" i="2"/>
  <c r="M17" i="2"/>
  <c r="AI12" i="2"/>
  <c r="AB13" i="2"/>
  <c r="V14" i="2"/>
  <c r="P15" i="2"/>
  <c r="I16" i="2"/>
  <c r="AZ16" i="2"/>
  <c r="AL17" i="2"/>
  <c r="U18" i="2"/>
  <c r="BA18" i="2"/>
  <c r="AJ19" i="2"/>
  <c r="Q8" i="2"/>
  <c r="AZ12" i="2"/>
  <c r="AT13" i="2"/>
  <c r="AM14" i="2"/>
  <c r="AG15" i="2"/>
  <c r="AA16" i="2"/>
  <c r="S17" i="2"/>
  <c r="AY17" i="2"/>
  <c r="AH18" i="2"/>
  <c r="Q19" i="2"/>
  <c r="AW19" i="2"/>
  <c r="AF20" i="2"/>
  <c r="O21" i="2"/>
  <c r="AG8" i="2"/>
  <c r="BA12" i="2"/>
  <c r="AU13" i="2"/>
  <c r="AO14" i="2"/>
  <c r="AH15" i="2"/>
  <c r="AB16" i="2"/>
  <c r="T17" i="2"/>
  <c r="AZ17" i="2"/>
  <c r="AI18" i="2"/>
  <c r="R19" i="2"/>
  <c r="AX19" i="2"/>
  <c r="AG20" i="2"/>
  <c r="P21" i="2"/>
  <c r="AV21" i="2"/>
  <c r="AE22" i="2"/>
  <c r="N23" i="2"/>
  <c r="AT23" i="2"/>
  <c r="AC24" i="2"/>
  <c r="L25" i="2"/>
  <c r="S6" i="2"/>
  <c r="Y15" i="2"/>
  <c r="AB18" i="2"/>
  <c r="AH20" i="2"/>
  <c r="AS21" i="2"/>
  <c r="AL22" i="2"/>
  <c r="AF23" i="2"/>
  <c r="Z24" i="2"/>
  <c r="S25" i="2"/>
  <c r="H26" i="2"/>
  <c r="AN26" i="2"/>
  <c r="W27" i="2"/>
  <c r="BC27" i="2"/>
  <c r="O14" i="2"/>
  <c r="AS16" i="2"/>
  <c r="P18" i="2"/>
  <c r="AE19" i="2"/>
  <c r="AA20" i="2"/>
  <c r="J21" i="2"/>
  <c r="AO21" i="2"/>
  <c r="M22" i="2"/>
  <c r="AH22" i="2"/>
  <c r="BD22" i="2"/>
  <c r="AB23" i="2"/>
  <c r="AW23" i="2"/>
  <c r="V24" i="2"/>
  <c r="AQ24" i="2"/>
  <c r="O25" i="2"/>
  <c r="AK25" i="2"/>
  <c r="BB25" i="2"/>
  <c r="U26" i="2"/>
  <c r="AK26" i="2"/>
  <c r="BA26" i="2"/>
  <c r="T27" i="2"/>
  <c r="AJ27" i="2"/>
  <c r="AZ27" i="2"/>
  <c r="S28" i="2"/>
  <c r="AI28" i="2"/>
  <c r="AY28" i="2"/>
  <c r="R29" i="2"/>
  <c r="AH29" i="2"/>
  <c r="AA13" i="2"/>
  <c r="N15" i="2"/>
  <c r="AY16" i="2"/>
  <c r="T18" i="2"/>
  <c r="AI19" i="2"/>
  <c r="AD20" i="2"/>
  <c r="M21" i="2"/>
  <c r="AP21" i="2"/>
  <c r="N22" i="2"/>
  <c r="AJ22" i="2"/>
  <c r="H23" i="2"/>
  <c r="AC23" i="2"/>
  <c r="AY23" i="2"/>
  <c r="W24" i="2"/>
  <c r="AR24" i="2"/>
  <c r="Q25" i="2"/>
  <c r="AL25" i="2"/>
  <c r="BC25" i="2"/>
  <c r="V26" i="2"/>
  <c r="AL26" i="2"/>
  <c r="BB26" i="2"/>
  <c r="U27" i="2"/>
  <c r="AK27" i="2"/>
  <c r="BA27" i="2"/>
  <c r="T28" i="2"/>
  <c r="AJ28" i="2"/>
  <c r="AZ28" i="2"/>
  <c r="S29" i="2"/>
  <c r="AI29" i="2"/>
  <c r="AY29" i="2"/>
  <c r="R30" i="2"/>
  <c r="AH30" i="2"/>
  <c r="AX30" i="2"/>
  <c r="Q31" i="2"/>
  <c r="AG31" i="2"/>
  <c r="AW31" i="2"/>
  <c r="P32" i="2"/>
  <c r="AF32" i="2"/>
  <c r="AV32" i="2"/>
  <c r="O33" i="2"/>
  <c r="AE33" i="2"/>
  <c r="AU33" i="2"/>
  <c r="BB13" i="2"/>
  <c r="BC19" i="2"/>
  <c r="U22" i="2"/>
  <c r="H24" i="2"/>
  <c r="AR25" i="2"/>
  <c r="J27" i="2"/>
  <c r="Q28" i="2"/>
  <c r="AW28" i="2"/>
  <c r="AF29" i="2"/>
  <c r="BB29" i="2"/>
  <c r="AA30" i="2"/>
  <c r="AV30" i="2"/>
  <c r="T31" i="2"/>
  <c r="AP31" i="2"/>
  <c r="N32" i="2"/>
  <c r="AI32" i="2"/>
  <c r="H33" i="2"/>
  <c r="AC33" i="2"/>
  <c r="AX33" i="2"/>
  <c r="S34" i="2"/>
  <c r="O7" i="2"/>
  <c r="AS9" i="2"/>
  <c r="AD5" i="2"/>
  <c r="K8" i="2"/>
  <c r="AO10" i="2"/>
  <c r="Z6" i="2"/>
  <c r="BD8" i="2"/>
  <c r="AK11" i="2"/>
  <c r="AB12" i="2"/>
  <c r="AF5" i="2"/>
  <c r="AT12" i="2"/>
  <c r="P14" i="2"/>
  <c r="AE15" i="2"/>
  <c r="AT16" i="2"/>
  <c r="BD12" i="2"/>
  <c r="AQ14" i="2"/>
  <c r="AE16" i="2"/>
  <c r="BB17" i="2"/>
  <c r="T19" i="2"/>
  <c r="W12" i="2"/>
  <c r="R14" i="2"/>
  <c r="BB15" i="2"/>
  <c r="AI17" i="2"/>
  <c r="AX18" i="2"/>
  <c r="P20" i="2"/>
  <c r="AE21" i="2"/>
  <c r="Z13" i="2"/>
  <c r="M15" i="2"/>
  <c r="AW16" i="2"/>
  <c r="S18" i="2"/>
  <c r="AH19" i="2"/>
  <c r="AW20" i="2"/>
  <c r="O22" i="2"/>
  <c r="AD23" i="2"/>
  <c r="AS24" i="2"/>
  <c r="AL13" i="2"/>
  <c r="AQ19" i="2"/>
  <c r="Q22" i="2"/>
  <c r="BA23" i="2"/>
  <c r="AO25" i="2"/>
  <c r="BD26" i="2"/>
  <c r="V13" i="2"/>
  <c r="AG17" i="2"/>
  <c r="K20" i="2"/>
  <c r="Z21" i="2"/>
  <c r="X22" i="2"/>
  <c r="Q23" i="2"/>
  <c r="K24" i="2"/>
  <c r="BB24" i="2"/>
  <c r="AT25" i="2"/>
  <c r="AC26" i="2"/>
  <c r="L27" i="2"/>
  <c r="AR27" i="2"/>
  <c r="AA28" i="2"/>
  <c r="J29" i="2"/>
  <c r="AE12" i="2"/>
  <c r="H16" i="2"/>
  <c r="AZ18" i="2"/>
  <c r="AT20" i="2"/>
  <c r="BA21" i="2"/>
  <c r="AT22" i="2"/>
  <c r="AN23" i="2"/>
  <c r="AH24" i="2"/>
  <c r="AA25" i="2"/>
  <c r="N26" i="2"/>
  <c r="AT26" i="2"/>
  <c r="AC27" i="2"/>
  <c r="L28" i="2"/>
  <c r="AR28" i="2"/>
  <c r="AA29" i="2"/>
  <c r="J30" i="2"/>
  <c r="AP30" i="2"/>
  <c r="Y31" i="2"/>
  <c r="H32" i="2"/>
  <c r="AN32" i="2"/>
  <c r="W33" i="2"/>
  <c r="BC33" i="2"/>
  <c r="V21" i="2"/>
  <c r="AY24" i="2"/>
  <c r="AP27" i="2"/>
  <c r="P29" i="2"/>
  <c r="P30" i="2"/>
  <c r="J31" i="2"/>
  <c r="AZ31" i="2"/>
  <c r="AT32" i="2"/>
  <c r="AH33" i="2"/>
  <c r="K34" i="2"/>
  <c r="AE34" i="2"/>
  <c r="AU34" i="2"/>
  <c r="N35" i="2"/>
  <c r="AD35" i="2"/>
  <c r="AT35" i="2"/>
  <c r="M36" i="2"/>
  <c r="AC36" i="2"/>
  <c r="AS36" i="2"/>
  <c r="L37" i="2"/>
  <c r="AB37" i="2"/>
  <c r="AR37" i="2"/>
  <c r="K38" i="2"/>
  <c r="AA38" i="2"/>
  <c r="AQ38" i="2"/>
  <c r="J39" i="2"/>
  <c r="Z39" i="2"/>
  <c r="AP39" i="2"/>
  <c r="I40" i="2"/>
  <c r="M16" i="2"/>
  <c r="AU20" i="2"/>
  <c r="AV22" i="2"/>
  <c r="AI24" i="2"/>
  <c r="O26" i="2"/>
  <c r="AD27" i="2"/>
  <c r="Z28" i="2"/>
  <c r="I29" i="2"/>
  <c r="AN29" i="2"/>
  <c r="L30" i="2"/>
  <c r="AG30" i="2"/>
  <c r="BC30" i="2"/>
  <c r="AA31" i="2"/>
  <c r="AV31" i="2"/>
  <c r="U32" i="2"/>
  <c r="AP32" i="2"/>
  <c r="N33" i="2"/>
  <c r="AJ33" i="2"/>
  <c r="H34" i="2"/>
  <c r="X34" i="2"/>
  <c r="AN34" i="2"/>
  <c r="BD34" i="2"/>
  <c r="W35" i="2"/>
  <c r="AM35" i="2"/>
  <c r="BC35" i="2"/>
  <c r="V36" i="2"/>
  <c r="AL36" i="2"/>
  <c r="BB36" i="2"/>
  <c r="U37" i="2"/>
  <c r="AK37" i="2"/>
  <c r="BA37" i="2"/>
  <c r="T38" i="2"/>
  <c r="AJ38" i="2"/>
  <c r="AZ38" i="2"/>
  <c r="S39" i="2"/>
  <c r="AI39" i="2"/>
  <c r="AY39" i="2"/>
  <c r="R40" i="2"/>
  <c r="AH40" i="2"/>
  <c r="AX40" i="2"/>
  <c r="Q41" i="2"/>
  <c r="AG41" i="2"/>
  <c r="K13" i="2"/>
  <c r="W19" i="2"/>
  <c r="J22" i="2"/>
  <c r="AU23" i="2"/>
  <c r="AH25" i="2"/>
  <c r="AY26" i="2"/>
  <c r="M28" i="2"/>
  <c r="AS28" i="2"/>
  <c r="AB29" i="2"/>
  <c r="AZ29" i="2"/>
  <c r="X30" i="2"/>
  <c r="AS30" i="2"/>
  <c r="R31" i="2"/>
  <c r="AM31" i="2"/>
  <c r="K32" i="2"/>
  <c r="AG32" i="2"/>
  <c r="BB32" i="2"/>
  <c r="Z33" i="2"/>
  <c r="AV33" i="2"/>
  <c r="Q34" i="2"/>
  <c r="AG34" i="2"/>
  <c r="AW34" i="2"/>
  <c r="P35" i="2"/>
  <c r="AF35" i="2"/>
  <c r="AV35" i="2"/>
  <c r="O36" i="2"/>
  <c r="AE36" i="2"/>
  <c r="AU36" i="2"/>
  <c r="N37" i="2"/>
  <c r="AD37" i="2"/>
  <c r="AT37" i="2"/>
  <c r="M38" i="2"/>
  <c r="AC38" i="2"/>
  <c r="AS38" i="2"/>
  <c r="L39" i="2"/>
  <c r="AB39" i="2"/>
  <c r="AR39" i="2"/>
  <c r="K40" i="2"/>
  <c r="AA40" i="2"/>
  <c r="AQ40" i="2"/>
  <c r="J41" i="2"/>
  <c r="Z41" i="2"/>
  <c r="AP41" i="2"/>
  <c r="I42" i="2"/>
  <c r="Y42" i="2"/>
  <c r="AO42" i="2"/>
  <c r="H43" i="2"/>
  <c r="X43" i="2"/>
  <c r="AN43" i="2"/>
  <c r="BD43" i="2"/>
  <c r="W44" i="2"/>
  <c r="AM44" i="2"/>
  <c r="AX4" i="2"/>
  <c r="AT52" i="2"/>
  <c r="AD52" i="2"/>
  <c r="N52" i="2"/>
  <c r="AU51" i="2"/>
  <c r="AE51" i="2"/>
  <c r="O51" i="2"/>
  <c r="AV50" i="2"/>
  <c r="AF50" i="2"/>
  <c r="P50" i="2"/>
  <c r="AW49" i="2"/>
  <c r="AG49" i="2"/>
  <c r="Q49" i="2"/>
  <c r="AX48" i="2"/>
  <c r="AH48" i="2"/>
  <c r="R48" i="2"/>
  <c r="AY47" i="2"/>
  <c r="AI47" i="2"/>
  <c r="S47" i="2"/>
  <c r="AZ46" i="2"/>
  <c r="AJ46" i="2"/>
  <c r="T46" i="2"/>
  <c r="BA45" i="2"/>
  <c r="AK45" i="2"/>
  <c r="U45" i="2"/>
  <c r="BB44" i="2"/>
  <c r="AH44" i="2"/>
  <c r="M44" i="2"/>
  <c r="AO43" i="2"/>
  <c r="S43" i="2"/>
  <c r="AU42" i="2"/>
  <c r="Z42" i="2"/>
  <c r="BA41" i="2"/>
  <c r="X41" i="2"/>
  <c r="AO40" i="2"/>
  <c r="BA39" i="2"/>
  <c r="AL38" i="2"/>
  <c r="W37" i="2"/>
  <c r="H36" i="2"/>
  <c r="AP34" i="2"/>
  <c r="Q33" i="2"/>
  <c r="AD31" i="2"/>
  <c r="AP29" i="2"/>
  <c r="W26" i="2"/>
  <c r="BD16" i="2"/>
  <c r="AN49" i="2"/>
  <c r="X49" i="2"/>
  <c r="H49" i="2"/>
  <c r="AO48" i="2"/>
  <c r="Y48" i="2"/>
  <c r="I48" i="2"/>
  <c r="AP47" i="2"/>
  <c r="Z47" i="2"/>
  <c r="J47" i="2"/>
  <c r="AQ46" i="2"/>
  <c r="AA46" i="2"/>
  <c r="K46" i="2"/>
  <c r="AR45" i="2"/>
  <c r="AB45" i="2"/>
  <c r="L45" i="2"/>
  <c r="AR44" i="2"/>
  <c r="V44" i="2"/>
  <c r="AX43" i="2"/>
  <c r="AC43" i="2"/>
  <c r="BD42" i="2"/>
  <c r="AI42" i="2"/>
  <c r="N42" i="2"/>
  <c r="AM41" i="2"/>
  <c r="BD40" i="2"/>
  <c r="X40" i="2"/>
  <c r="Q39" i="2"/>
  <c r="AY37" i="2"/>
  <c r="AJ36" i="2"/>
  <c r="U35" i="2"/>
  <c r="BB33" i="2"/>
  <c r="R32" i="2"/>
  <c r="AE30" i="2"/>
  <c r="V28" i="2"/>
  <c r="AK22" i="2"/>
  <c r="BB50" i="2"/>
  <c r="AL50" i="2"/>
  <c r="V50" i="2"/>
  <c r="BC49" i="2"/>
  <c r="AM49" i="2"/>
  <c r="W49" i="2"/>
  <c r="BD48" i="2"/>
  <c r="AN48" i="2"/>
  <c r="X48" i="2"/>
  <c r="H48" i="2"/>
  <c r="AO47" i="2"/>
  <c r="Y47" i="2"/>
  <c r="I47" i="2"/>
  <c r="AP46" i="2"/>
  <c r="Z46" i="2"/>
  <c r="J46" i="2"/>
  <c r="AQ45" i="2"/>
  <c r="AA45" i="2"/>
  <c r="K45" i="2"/>
  <c r="AP44" i="2"/>
  <c r="U44" i="2"/>
  <c r="AW43" i="2"/>
  <c r="AA43" i="2"/>
  <c r="BC42" i="2"/>
  <c r="AH42" i="2"/>
  <c r="L42" i="2"/>
  <c r="AJ41" i="2"/>
  <c r="BA40" i="2"/>
  <c r="U40" i="2"/>
  <c r="M39" i="2"/>
  <c r="AU37" i="2"/>
  <c r="AF36" i="2"/>
  <c r="Q35" i="2"/>
  <c r="AW33" i="2"/>
  <c r="M32" i="2"/>
  <c r="Y30" i="2"/>
  <c r="N28" i="2"/>
  <c r="P22" i="2"/>
  <c r="AC5" i="2"/>
  <c r="J8" i="2"/>
  <c r="AN10" i="2"/>
  <c r="Y6" i="2"/>
  <c r="BC8" i="2"/>
  <c r="AJ11" i="2"/>
  <c r="U7" i="2"/>
  <c r="AY9" i="2"/>
  <c r="BC6" i="2"/>
  <c r="I8" i="2"/>
  <c r="L9" i="2"/>
  <c r="U13" i="2"/>
  <c r="AJ14" i="2"/>
  <c r="AY15" i="2"/>
  <c r="T5" i="2"/>
  <c r="AH13" i="2"/>
  <c r="U15" i="2"/>
  <c r="H17" i="2"/>
  <c r="Y18" i="2"/>
  <c r="AN19" i="2"/>
  <c r="H13" i="2"/>
  <c r="AS14" i="2"/>
  <c r="AF16" i="2"/>
  <c r="BC17" i="2"/>
  <c r="U19" i="2"/>
  <c r="AJ20" i="2"/>
  <c r="AV9" i="2"/>
  <c r="AZ13" i="2"/>
  <c r="AN15" i="2"/>
  <c r="X17" i="2"/>
  <c r="AM18" i="2"/>
  <c r="BB19" i="2"/>
  <c r="T21" i="2"/>
  <c r="AI22" i="2"/>
  <c r="AX23" i="2"/>
  <c r="P25" i="2"/>
  <c r="AT15" i="2"/>
  <c r="AP20" i="2"/>
  <c r="AR22" i="2"/>
  <c r="AE24" i="2"/>
  <c r="L26" i="2"/>
  <c r="AA27" i="2"/>
  <c r="I15" i="2"/>
  <c r="AF18" i="2"/>
  <c r="AI20" i="2"/>
  <c r="AT21" i="2"/>
  <c r="AN22" i="2"/>
  <c r="AG23" i="2"/>
  <c r="AA24" i="2"/>
  <c r="U25" i="2"/>
  <c r="I26" i="2"/>
  <c r="AO26" i="2"/>
  <c r="X27" i="2"/>
  <c r="BD27" i="2"/>
  <c r="AM28" i="2"/>
  <c r="V29" i="2"/>
  <c r="AV13" i="2"/>
  <c r="U17" i="2"/>
  <c r="AY19" i="2"/>
  <c r="U21" i="2"/>
  <c r="T22" i="2"/>
  <c r="M23" i="2"/>
  <c r="BD23" i="2"/>
  <c r="AX24" i="2"/>
  <c r="AQ25" i="2"/>
  <c r="Z26" i="2"/>
  <c r="I27" i="2"/>
  <c r="AO27" i="2"/>
  <c r="X28" i="2"/>
  <c r="BD28" i="2"/>
  <c r="AM29" i="2"/>
  <c r="V30" i="2"/>
  <c r="BB30" i="2"/>
  <c r="AK31" i="2"/>
  <c r="T32" i="2"/>
  <c r="AZ32" i="2"/>
  <c r="AI33" i="2"/>
  <c r="AO15" i="2"/>
  <c r="AP22" i="2"/>
  <c r="K26" i="2"/>
  <c r="Y28" i="2"/>
  <c r="AL29" i="2"/>
  <c r="AF30" i="2"/>
  <c r="Z31" i="2"/>
  <c r="S32" i="2"/>
  <c r="M33" i="2"/>
  <c r="AN33" i="2"/>
  <c r="O34" i="2"/>
  <c r="AI34" i="2"/>
  <c r="AY34" i="2"/>
  <c r="R35" i="2"/>
  <c r="AH35" i="2"/>
  <c r="AX35" i="2"/>
  <c r="Q36" i="2"/>
  <c r="AG36" i="2"/>
  <c r="AW36" i="2"/>
  <c r="P37" i="2"/>
  <c r="AF37" i="2"/>
  <c r="AV37" i="2"/>
  <c r="O38" i="2"/>
  <c r="AE38" i="2"/>
  <c r="AU38" i="2"/>
  <c r="N39" i="2"/>
  <c r="AD39" i="2"/>
  <c r="AT39" i="2"/>
  <c r="M40" i="2"/>
  <c r="AO17" i="2"/>
  <c r="AD21" i="2"/>
  <c r="T23" i="2"/>
  <c r="BD24" i="2"/>
  <c r="AE26" i="2"/>
  <c r="AT27" i="2"/>
  <c r="AH28" i="2"/>
  <c r="Q29" i="2"/>
  <c r="AS29" i="2"/>
  <c r="Q30" i="2"/>
  <c r="AM30" i="2"/>
  <c r="K31" i="2"/>
  <c r="AF31" i="2"/>
  <c r="BB31" i="2"/>
  <c r="Z32" i="2"/>
  <c r="AU32" i="2"/>
  <c r="T33" i="2"/>
  <c r="AO33" i="2"/>
  <c r="L34" i="2"/>
  <c r="AB34" i="2"/>
  <c r="AR34" i="2"/>
  <c r="K35" i="2"/>
  <c r="AA35" i="2"/>
  <c r="AQ35" i="2"/>
  <c r="J36" i="2"/>
  <c r="Z36" i="2"/>
  <c r="AP36" i="2"/>
  <c r="I37" i="2"/>
  <c r="Y37" i="2"/>
  <c r="AO37" i="2"/>
  <c r="H38" i="2"/>
  <c r="X38" i="2"/>
  <c r="AN38" i="2"/>
  <c r="BD38" i="2"/>
  <c r="W39" i="2"/>
  <c r="AM39" i="2"/>
  <c r="BC39" i="2"/>
  <c r="V40" i="2"/>
  <c r="AL40" i="2"/>
  <c r="BB40" i="2"/>
  <c r="U41" i="2"/>
  <c r="AK41" i="2"/>
  <c r="AU14" i="2"/>
  <c r="W20" i="2"/>
  <c r="AF22" i="2"/>
  <c r="S24" i="2"/>
  <c r="AZ25" i="2"/>
  <c r="R27" i="2"/>
  <c r="U28" i="2"/>
  <c r="BA28" i="2"/>
  <c r="AJ29" i="2"/>
  <c r="H30" i="2"/>
  <c r="AC30" i="2"/>
  <c r="AY30" i="2"/>
  <c r="W31" i="2"/>
  <c r="AR31" i="2"/>
  <c r="Q32" i="2"/>
  <c r="AL32" i="2"/>
  <c r="J33" i="2"/>
  <c r="AF33" i="2"/>
  <c r="BA33" i="2"/>
  <c r="U34" i="2"/>
  <c r="AK34" i="2"/>
  <c r="BA34" i="2"/>
  <c r="T35" i="2"/>
  <c r="AJ35" i="2"/>
  <c r="AZ35" i="2"/>
  <c r="S36" i="2"/>
  <c r="AI36" i="2"/>
  <c r="AY36" i="2"/>
  <c r="R37" i="2"/>
  <c r="AH37" i="2"/>
  <c r="AX37" i="2"/>
  <c r="Q38" i="2"/>
  <c r="AG38" i="2"/>
  <c r="AW38" i="2"/>
  <c r="P39" i="2"/>
  <c r="AF39" i="2"/>
  <c r="AV39" i="2"/>
  <c r="O40" i="2"/>
  <c r="AE40" i="2"/>
  <c r="AU40" i="2"/>
  <c r="N41" i="2"/>
  <c r="AD41" i="2"/>
  <c r="AT41" i="2"/>
  <c r="M42" i="2"/>
  <c r="AC42" i="2"/>
  <c r="AS42" i="2"/>
  <c r="L43" i="2"/>
  <c r="AB43" i="2"/>
  <c r="AR43" i="2"/>
  <c r="K44" i="2"/>
  <c r="AA44" i="2"/>
  <c r="AQ44" i="2"/>
  <c r="AT4" i="2"/>
  <c r="AP52" i="2"/>
  <c r="Z52" i="2"/>
  <c r="J52" i="2"/>
  <c r="AQ51" i="2"/>
  <c r="AA51" i="2"/>
  <c r="K51" i="2"/>
  <c r="AR50" i="2"/>
  <c r="AB50" i="2"/>
  <c r="L50" i="2"/>
  <c r="AS49" i="2"/>
  <c r="AC49" i="2"/>
  <c r="M49" i="2"/>
  <c r="AT48" i="2"/>
  <c r="AD48" i="2"/>
  <c r="N48" i="2"/>
  <c r="AU47" i="2"/>
  <c r="AE47" i="2"/>
  <c r="O47" i="2"/>
  <c r="AV46" i="2"/>
  <c r="AF46" i="2"/>
  <c r="P46" i="2"/>
  <c r="AW45" i="2"/>
  <c r="AG45" i="2"/>
  <c r="Q45" i="2"/>
  <c r="AX44" i="2"/>
  <c r="AC44" i="2"/>
  <c r="H44" i="2"/>
  <c r="AI43" i="2"/>
  <c r="N43" i="2"/>
  <c r="AP42" i="2"/>
  <c r="T42" i="2"/>
  <c r="AV41" i="2"/>
  <c r="P41" i="2"/>
  <c r="AG40" i="2"/>
  <c r="AK39" i="2"/>
  <c r="V38" i="2"/>
  <c r="BD36" i="2"/>
  <c r="AO35" i="2"/>
  <c r="Z34" i="2"/>
  <c r="AS32" i="2"/>
  <c r="H31" i="2"/>
  <c r="M29" i="2"/>
  <c r="AT24" i="2"/>
  <c r="AZ49" i="2"/>
  <c r="AJ49" i="2"/>
  <c r="T49" i="2"/>
  <c r="BA48" i="2"/>
  <c r="AK48" i="2"/>
  <c r="U48" i="2"/>
  <c r="BB47" i="2"/>
  <c r="AL47" i="2"/>
  <c r="V47" i="2"/>
  <c r="BC46" i="2"/>
  <c r="AM46" i="2"/>
  <c r="W46" i="2"/>
  <c r="BD45" i="2"/>
  <c r="AN45" i="2"/>
  <c r="X45" i="2"/>
  <c r="H45" i="2"/>
  <c r="AL44" i="2"/>
  <c r="Q44" i="2"/>
  <c r="AS43" i="2"/>
  <c r="W43" i="2"/>
  <c r="AY42" i="2"/>
  <c r="AD42" i="2"/>
  <c r="H42" i="2"/>
  <c r="AE41" i="2"/>
  <c r="AV40" i="2"/>
  <c r="P40" i="2"/>
  <c r="AX38" i="2"/>
  <c r="AI37" i="2"/>
  <c r="T36" i="2"/>
  <c r="BB34" i="2"/>
  <c r="AG33" i="2"/>
  <c r="AT31" i="2"/>
  <c r="I30" i="2"/>
  <c r="V27" i="2"/>
  <c r="AE20" i="2"/>
  <c r="AX50" i="2"/>
  <c r="AH50" i="2"/>
  <c r="R50" i="2"/>
  <c r="AY49" i="2"/>
  <c r="AI49" i="2"/>
  <c r="S49" i="2"/>
  <c r="AZ48" i="2"/>
  <c r="AJ48" i="2"/>
  <c r="T48" i="2"/>
  <c r="BA47" i="2"/>
  <c r="AK47" i="2"/>
  <c r="U47" i="2"/>
  <c r="BB46" i="2"/>
  <c r="AL46" i="2"/>
  <c r="V46" i="2"/>
  <c r="BC45" i="2"/>
  <c r="AM45" i="2"/>
  <c r="W45" i="2"/>
  <c r="BD44" i="2"/>
  <c r="AK44" i="2"/>
  <c r="P44" i="2"/>
  <c r="AQ43" i="2"/>
  <c r="V43" i="2"/>
  <c r="AX42" i="2"/>
  <c r="AB42" i="2"/>
  <c r="BD41" i="2"/>
  <c r="AB41" i="2"/>
  <c r="AS40" i="2"/>
  <c r="L40" i="2"/>
  <c r="AT38" i="2"/>
  <c r="AE37" i="2"/>
  <c r="P36" i="2"/>
  <c r="AX34" i="2"/>
  <c r="AB33" i="2"/>
  <c r="AN31" i="2"/>
  <c r="BA29" i="2"/>
  <c r="BC26" i="2"/>
  <c r="AM19" i="2"/>
  <c r="AW5" i="2"/>
  <c r="AD8" i="2"/>
  <c r="K11" i="2"/>
  <c r="AS6" i="2"/>
  <c r="Z9" i="2"/>
  <c r="K5" i="2"/>
  <c r="AO7" i="2"/>
  <c r="V10" i="2"/>
  <c r="AK8" i="2"/>
  <c r="AN9" i="2"/>
  <c r="AQ10" i="2"/>
  <c r="AG13" i="2"/>
  <c r="AV14" i="2"/>
  <c r="N16" i="2"/>
  <c r="P9" i="2"/>
  <c r="AX13" i="2"/>
  <c r="AK15" i="2"/>
  <c r="V17" i="2"/>
  <c r="AK18" i="2"/>
  <c r="AZ19" i="2"/>
  <c r="X13" i="2"/>
  <c r="L15" i="2"/>
  <c r="AV16" i="2"/>
  <c r="R18" i="2"/>
  <c r="AN7" i="2"/>
  <c r="Q11" i="2"/>
  <c r="BA13" i="2"/>
  <c r="AA14" i="2"/>
  <c r="AF9" i="2"/>
  <c r="AL18" i="2"/>
  <c r="S21" i="2"/>
  <c r="AT14" i="2"/>
  <c r="BD17" i="2"/>
  <c r="AK20" i="2"/>
  <c r="R23" i="2"/>
  <c r="AD11" i="2"/>
  <c r="AX21" i="2"/>
  <c r="Y25" i="2"/>
  <c r="AH7" i="2"/>
  <c r="AU19" i="2"/>
  <c r="R22" i="2"/>
  <c r="BC23" i="2"/>
  <c r="AP25" i="2"/>
  <c r="H27" i="2"/>
  <c r="W28" i="2"/>
  <c r="AW8" i="2"/>
  <c r="AJ18" i="2"/>
  <c r="AU21" i="2"/>
  <c r="AI23" i="2"/>
  <c r="V25" i="2"/>
  <c r="AP26" i="2"/>
  <c r="H28" i="2"/>
  <c r="W29" i="2"/>
  <c r="AL30" i="2"/>
  <c r="BA31" i="2"/>
  <c r="S33" i="2"/>
  <c r="AM20" i="2"/>
  <c r="Z27" i="2"/>
  <c r="K30" i="2"/>
  <c r="AU31" i="2"/>
  <c r="X33" i="2"/>
  <c r="AA34" i="2"/>
  <c r="J35" i="2"/>
  <c r="AP35" i="2"/>
  <c r="Y36" i="2"/>
  <c r="H37" i="2"/>
  <c r="AN37" i="2"/>
  <c r="W38" i="2"/>
  <c r="BC38" i="2"/>
  <c r="AL39" i="2"/>
  <c r="Z14" i="2"/>
  <c r="Z22" i="2"/>
  <c r="AV25" i="2"/>
  <c r="R28" i="2"/>
  <c r="AG29" i="2"/>
  <c r="AB30" i="2"/>
  <c r="V31" i="2"/>
  <c r="O32" i="2"/>
  <c r="I33" i="2"/>
  <c r="AZ33" i="2"/>
  <c r="AJ34" i="2"/>
  <c r="S35" i="2"/>
  <c r="AY35" i="2"/>
  <c r="AH36" i="2"/>
  <c r="Q37" i="2"/>
  <c r="AW37" i="2"/>
  <c r="AF38" i="2"/>
  <c r="O39" i="2"/>
  <c r="AU39" i="2"/>
  <c r="AD40" i="2"/>
  <c r="M41" i="2"/>
  <c r="AS41" i="2"/>
  <c r="AL21" i="2"/>
  <c r="M25" i="2"/>
  <c r="AX27" i="2"/>
  <c r="T29" i="2"/>
  <c r="S30" i="2"/>
  <c r="L31" i="2"/>
  <c r="BC31" i="2"/>
  <c r="AW32" i="2"/>
  <c r="AP33" i="2"/>
  <c r="AC34" i="2"/>
  <c r="L35" i="2"/>
  <c r="AR35" i="2"/>
  <c r="AA36" i="2"/>
  <c r="J37" i="2"/>
  <c r="AP37" i="2"/>
  <c r="Y38" i="2"/>
  <c r="H39" i="2"/>
  <c r="AN39" i="2"/>
  <c r="W40" i="2"/>
  <c r="BC40" i="2"/>
  <c r="AL41" i="2"/>
  <c r="U42" i="2"/>
  <c r="BA42" i="2"/>
  <c r="AJ43" i="2"/>
  <c r="S44" i="2"/>
  <c r="BB4" i="2"/>
  <c r="AH52" i="2"/>
  <c r="AY51" i="2"/>
  <c r="S51" i="2"/>
  <c r="AJ50" i="2"/>
  <c r="BA49" i="2"/>
  <c r="U49" i="2"/>
  <c r="AL48" i="2"/>
  <c r="BC47" i="2"/>
  <c r="W47" i="2"/>
  <c r="AN46" i="2"/>
  <c r="H46" i="2"/>
  <c r="Y45" i="2"/>
  <c r="AN44" i="2"/>
  <c r="AT43" i="2"/>
  <c r="AZ42" i="2"/>
  <c r="J42" i="2"/>
  <c r="AW40" i="2"/>
  <c r="BB38" i="2"/>
  <c r="X36" i="2"/>
  <c r="AL33" i="2"/>
  <c r="O30" i="2"/>
  <c r="N21" i="2"/>
  <c r="AB49" i="2"/>
  <c r="AS48" i="2"/>
  <c r="M48" i="2"/>
  <c r="AD47" i="2"/>
  <c r="AU46" i="2"/>
  <c r="O46" i="2"/>
  <c r="AF45" i="2"/>
  <c r="AW44" i="2"/>
  <c r="BC43" i="2"/>
  <c r="M43" i="2"/>
  <c r="S42" i="2"/>
  <c r="O41" i="2"/>
  <c r="AG39" i="2"/>
  <c r="AZ36" i="2"/>
  <c r="V34" i="2"/>
  <c r="AZ30" i="2"/>
  <c r="X24" i="2"/>
  <c r="AP50" i="2"/>
  <c r="J50" i="2"/>
  <c r="AA49" i="2"/>
  <c r="AR48" i="2"/>
  <c r="L48" i="2"/>
  <c r="AC47" i="2"/>
  <c r="AT46" i="2"/>
  <c r="N46" i="2"/>
  <c r="AE45" i="2"/>
  <c r="AV44" i="2"/>
  <c r="BB43" i="2"/>
  <c r="K43" i="2"/>
  <c r="R42" i="2"/>
  <c r="L41" i="2"/>
  <c r="AC39" i="2"/>
  <c r="AV36" i="2"/>
  <c r="R34" i="2"/>
  <c r="AU30" i="2"/>
  <c r="AZ23" i="2"/>
  <c r="AC29" i="2"/>
  <c r="Y9" i="2"/>
  <c r="AN27" i="2"/>
  <c r="AL20" i="2"/>
  <c r="AB24" i="2"/>
  <c r="Y27" i="2"/>
  <c r="BC29" i="2"/>
  <c r="AJ32" i="2"/>
  <c r="AD24" i="2"/>
  <c r="BA30" i="2"/>
  <c r="AQ34" i="2"/>
  <c r="I36" i="2"/>
  <c r="X37" i="2"/>
  <c r="AM38" i="2"/>
  <c r="BB39" i="2"/>
  <c r="N24" i="2"/>
  <c r="AX28" i="2"/>
  <c r="AW30" i="2"/>
  <c r="AK32" i="2"/>
  <c r="T34" i="2"/>
  <c r="AI35" i="2"/>
  <c r="AX36" i="2"/>
  <c r="P38" i="2"/>
  <c r="AE39" i="2"/>
  <c r="AT40" i="2"/>
  <c r="Y23" i="2"/>
  <c r="AK28" i="2"/>
  <c r="AN30" i="2"/>
  <c r="AA32" i="2"/>
  <c r="M34" i="2"/>
  <c r="AB35" i="2"/>
  <c r="K36" i="2"/>
  <c r="Z37" i="2"/>
  <c r="AO38" i="2"/>
  <c r="BD39" i="2"/>
  <c r="V41" i="2"/>
  <c r="BB41" i="2"/>
  <c r="T43" i="2"/>
  <c r="AI44" i="2"/>
  <c r="R52" i="2"/>
  <c r="AZ50" i="2"/>
  <c r="AK49" i="2"/>
  <c r="V48" i="2"/>
  <c r="BD46" i="2"/>
  <c r="AO45" i="2"/>
  <c r="R44" i="2"/>
  <c r="AE42" i="2"/>
  <c r="Q40" i="2"/>
  <c r="I35" i="2"/>
  <c r="AL27" i="2"/>
  <c r="L49" i="2"/>
  <c r="AT47" i="2"/>
  <c r="AE46" i="2"/>
  <c r="AB44" i="2"/>
  <c r="AN42" i="2"/>
  <c r="AF40" i="2"/>
  <c r="AK35" i="2"/>
  <c r="BB28" i="2"/>
  <c r="Z50" i="2"/>
  <c r="K49" i="2"/>
  <c r="AS47" i="2"/>
  <c r="AD46" i="2"/>
  <c r="AU45" i="2"/>
  <c r="Z44" i="2"/>
  <c r="AM42" i="2"/>
  <c r="AC40" i="2"/>
  <c r="AG35" i="2"/>
  <c r="AT28" i="2"/>
  <c r="J5" i="2"/>
  <c r="AJ8" i="2"/>
  <c r="AD12" i="2"/>
  <c r="AN12" i="2"/>
  <c r="H19" i="2"/>
  <c r="W17" i="2"/>
  <c r="AV20" i="2"/>
  <c r="S14" i="2"/>
  <c r="AJ17" i="2"/>
  <c r="Q20" i="2"/>
  <c r="AU22" i="2"/>
  <c r="AB25" i="2"/>
  <c r="Q21" i="2"/>
  <c r="AU24" i="2"/>
  <c r="AM27" i="2"/>
  <c r="AV18" i="2"/>
  <c r="AY21" i="2"/>
  <c r="AM23" i="2"/>
  <c r="Z25" i="2"/>
  <c r="AS26" i="2"/>
  <c r="K28" i="2"/>
  <c r="Z29" i="2"/>
  <c r="AK17" i="2"/>
  <c r="AC21" i="2"/>
  <c r="S23" i="2"/>
  <c r="BC24" i="2"/>
  <c r="AD26" i="2"/>
  <c r="AS27" i="2"/>
  <c r="K29" i="2"/>
  <c r="Z30" i="2"/>
  <c r="AO31" i="2"/>
  <c r="BD32" i="2"/>
  <c r="Y17" i="2"/>
  <c r="AA26" i="2"/>
  <c r="AR29" i="2"/>
  <c r="AE31" i="2"/>
  <c r="R33" i="2"/>
  <c r="W34" i="2"/>
  <c r="BC34" i="2"/>
  <c r="AL35" i="2"/>
  <c r="U36" i="2"/>
  <c r="BA36" i="2"/>
  <c r="AJ37" i="2"/>
  <c r="S38" i="2"/>
  <c r="AY38" i="2"/>
  <c r="AH39" i="2"/>
  <c r="AM12" i="2"/>
  <c r="BB21" i="2"/>
  <c r="AC25" i="2"/>
  <c r="J28" i="2"/>
  <c r="W30" i="2"/>
  <c r="P31" i="2"/>
  <c r="J32" i="2"/>
  <c r="BA32" i="2"/>
  <c r="AT33" i="2"/>
  <c r="AF34" i="2"/>
  <c r="O35" i="2"/>
  <c r="AU35" i="2"/>
  <c r="AD36" i="2"/>
  <c r="M37" i="2"/>
  <c r="AS37" i="2"/>
  <c r="AB38" i="2"/>
  <c r="K39" i="2"/>
  <c r="AQ39" i="2"/>
  <c r="Z40" i="2"/>
  <c r="I41" i="2"/>
  <c r="AO41" i="2"/>
  <c r="AN24" i="2"/>
  <c r="AH27" i="2"/>
  <c r="M30" i="2"/>
  <c r="AX31" i="2"/>
  <c r="AK33" i="2"/>
  <c r="H35" i="2"/>
  <c r="W36" i="2"/>
  <c r="AL37" i="2"/>
  <c r="BA38" i="2"/>
  <c r="AJ39" i="2"/>
  <c r="AY40" i="2"/>
  <c r="Q42" i="2"/>
  <c r="AF43" i="2"/>
  <c r="AU44" i="2"/>
  <c r="BC51" i="2"/>
  <c r="AN50" i="2"/>
  <c r="Y49" i="2"/>
  <c r="J48" i="2"/>
  <c r="AR46" i="2"/>
  <c r="AC45" i="2"/>
  <c r="AY43" i="2"/>
  <c r="O42" i="2"/>
  <c r="AN36" i="2"/>
  <c r="AJ30" i="2"/>
  <c r="AF49" i="2"/>
  <c r="Q48" i="2"/>
  <c r="AY46" i="2"/>
  <c r="AJ45" i="2"/>
  <c r="L44" i="2"/>
  <c r="X42" i="2"/>
  <c r="AW39" i="2"/>
  <c r="AL34" i="2"/>
  <c r="BD25" i="2"/>
  <c r="N50" i="2"/>
  <c r="AV48" i="2"/>
  <c r="AG47" i="2"/>
  <c r="AX46" i="2"/>
  <c r="AI45" i="2"/>
  <c r="J44" i="2"/>
  <c r="W42" i="2"/>
  <c r="AS39" i="2"/>
  <c r="AH34" i="2"/>
  <c r="AM25" i="2"/>
  <c r="AR6" i="2"/>
  <c r="U10" i="2"/>
  <c r="H12" i="2"/>
  <c r="S15" i="2"/>
  <c r="O16" i="2"/>
  <c r="AY13" i="2"/>
  <c r="AG19" i="2"/>
  <c r="AA12" i="2"/>
  <c r="BD15" i="2"/>
  <c r="AY18" i="2"/>
  <c r="AF21" i="2"/>
  <c r="M24" i="2"/>
  <c r="L17" i="2"/>
  <c r="K23" i="2"/>
  <c r="X26" i="2"/>
  <c r="AD15" i="2"/>
  <c r="AQ20" i="2"/>
  <c r="AS22" i="2"/>
  <c r="AF24" i="2"/>
  <c r="M26" i="2"/>
  <c r="AB27" i="2"/>
  <c r="AQ28" i="2"/>
  <c r="U14" i="2"/>
  <c r="N20" i="2"/>
  <c r="Y22" i="2"/>
  <c r="L24" i="2"/>
  <c r="AU25" i="2"/>
  <c r="M27" i="2"/>
  <c r="AB28" i="2"/>
  <c r="AQ29" i="2"/>
  <c r="I31" i="2"/>
  <c r="X32" i="2"/>
  <c r="AM33" i="2"/>
  <c r="O23" i="2"/>
  <c r="AG28" i="2"/>
  <c r="AK30" i="2"/>
  <c r="Y32" i="2"/>
  <c r="AS33" i="2"/>
  <c r="AM34" i="2"/>
  <c r="V35" i="2"/>
  <c r="BB35" i="2"/>
  <c r="AK36" i="2"/>
  <c r="T37" i="2"/>
  <c r="AZ37" i="2"/>
  <c r="AI38" i="2"/>
  <c r="R39" i="2"/>
  <c r="AX39" i="2"/>
  <c r="BD18" i="2"/>
  <c r="AO23" i="2"/>
  <c r="AU26" i="2"/>
  <c r="AP28" i="2"/>
  <c r="AX29" i="2"/>
  <c r="AR30" i="2"/>
  <c r="AL31" i="2"/>
  <c r="AE32" i="2"/>
  <c r="Y33" i="2"/>
  <c r="P34" i="2"/>
  <c r="AV34" i="2"/>
  <c r="AE35" i="2"/>
  <c r="N36" i="2"/>
  <c r="AT36" i="2"/>
  <c r="AC37" i="2"/>
  <c r="L38" i="2"/>
  <c r="AR38" i="2"/>
  <c r="AA39" i="2"/>
  <c r="J40" i="2"/>
  <c r="AP40" i="2"/>
  <c r="Y41" i="2"/>
  <c r="AI16" i="2"/>
  <c r="BA22" i="2"/>
  <c r="S26" i="2"/>
  <c r="AC28" i="2"/>
  <c r="AO29" i="2"/>
  <c r="AI30" i="2"/>
  <c r="AB31" i="2"/>
  <c r="V32" i="2"/>
  <c r="P33" i="2"/>
  <c r="I34" i="2"/>
  <c r="AO34" i="2"/>
  <c r="X35" i="2"/>
  <c r="BD35" i="2"/>
  <c r="AM36" i="2"/>
  <c r="V37" i="2"/>
  <c r="BB37" i="2"/>
  <c r="AK38" i="2"/>
  <c r="T39" i="2"/>
  <c r="AZ39" i="2"/>
  <c r="AI40" i="2"/>
  <c r="R41" i="2"/>
  <c r="AX41" i="2"/>
  <c r="AG42" i="2"/>
  <c r="P43" i="2"/>
  <c r="AV43" i="2"/>
  <c r="AE44" i="2"/>
  <c r="BB52" i="2"/>
  <c r="V52" i="2"/>
  <c r="AM51" i="2"/>
  <c r="BD50" i="2"/>
  <c r="X50" i="2"/>
  <c r="AO49" i="2"/>
  <c r="I49" i="2"/>
  <c r="Z48" i="2"/>
  <c r="AQ47" i="2"/>
  <c r="K47" i="2"/>
  <c r="AB46" i="2"/>
  <c r="AS45" i="2"/>
  <c r="M45" i="2"/>
  <c r="X44" i="2"/>
  <c r="AD43" i="2"/>
  <c r="AJ42" i="2"/>
  <c r="AN41" i="2"/>
  <c r="Y40" i="2"/>
  <c r="BC37" i="2"/>
  <c r="Y35" i="2"/>
  <c r="W32" i="2"/>
  <c r="AD28" i="2"/>
  <c r="AV49" i="2"/>
  <c r="P49" i="2"/>
  <c r="AG48" i="2"/>
  <c r="AX47" i="2"/>
  <c r="R47" i="2"/>
  <c r="AI46" i="2"/>
  <c r="AZ45" i="2"/>
  <c r="T45" i="2"/>
  <c r="AG44" i="2"/>
  <c r="AM43" i="2"/>
  <c r="AT42" i="2"/>
  <c r="AZ41" i="2"/>
  <c r="AN40" i="2"/>
  <c r="AH38" i="2"/>
  <c r="BA35" i="2"/>
  <c r="L33" i="2"/>
  <c r="AK29" i="2"/>
  <c r="T15" i="2"/>
  <c r="AD50" i="2"/>
  <c r="AU49" i="2"/>
  <c r="O49" i="2"/>
  <c r="AF48" i="2"/>
  <c r="AW47" i="2"/>
  <c r="Q47" i="2"/>
  <c r="AH46" i="2"/>
  <c r="AY45" i="2"/>
  <c r="S45" i="2"/>
  <c r="AF44" i="2"/>
  <c r="AL43" i="2"/>
  <c r="AR42" i="2"/>
  <c r="AY41" i="2"/>
  <c r="AK40" i="2"/>
  <c r="AD38" i="2"/>
  <c r="AW35" i="2"/>
  <c r="BC32" i="2"/>
  <c r="AF13" i="2"/>
  <c r="BC5" i="2"/>
  <c r="U12" i="2"/>
  <c r="AH16" i="2"/>
  <c r="AP17" i="2"/>
  <c r="AL15" i="2"/>
  <c r="BA19" i="2"/>
  <c r="J13" i="2"/>
  <c r="AG16" i="2"/>
  <c r="V19" i="2"/>
  <c r="AZ21" i="2"/>
  <c r="AG24" i="2"/>
  <c r="AR18" i="2"/>
  <c r="AK23" i="2"/>
  <c r="AR26" i="2"/>
  <c r="Q17" i="2"/>
  <c r="R21" i="2"/>
  <c r="L23" i="2"/>
  <c r="AV24" i="2"/>
  <c r="Y26" i="2"/>
  <c r="BC28" i="2"/>
  <c r="AJ15" i="2"/>
  <c r="AO22" i="2"/>
  <c r="J26" i="2"/>
  <c r="AN28" i="2"/>
  <c r="U31" i="2"/>
  <c r="AY33" i="2"/>
  <c r="H29" i="2"/>
  <c r="AO32" i="2"/>
  <c r="BD33" i="2"/>
  <c r="Z35" i="2"/>
  <c r="AO36" i="2"/>
  <c r="BD37" i="2"/>
  <c r="V39" i="2"/>
  <c r="O20" i="2"/>
  <c r="N27" i="2"/>
  <c r="BD29" i="2"/>
  <c r="AQ31" i="2"/>
  <c r="AD33" i="2"/>
  <c r="AZ34" i="2"/>
  <c r="R36" i="2"/>
  <c r="AG37" i="2"/>
  <c r="AV38" i="2"/>
  <c r="N40" i="2"/>
  <c r="AC41" i="2"/>
  <c r="H18" i="2"/>
  <c r="AI26" i="2"/>
  <c r="AT29" i="2"/>
  <c r="AH31" i="2"/>
  <c r="U33" i="2"/>
  <c r="AS34" i="2"/>
  <c r="AQ36" i="2"/>
  <c r="I38" i="2"/>
  <c r="X39" i="2"/>
  <c r="AM40" i="2"/>
  <c r="AK42" i="2"/>
  <c r="AZ43" i="2"/>
  <c r="AX52" i="2"/>
  <c r="AI51" i="2"/>
  <c r="T50" i="2"/>
  <c r="BB48" i="2"/>
  <c r="AM47" i="2"/>
  <c r="X46" i="2"/>
  <c r="I45" i="2"/>
  <c r="Y43" i="2"/>
  <c r="AF41" i="2"/>
  <c r="AM37" i="2"/>
  <c r="AY31" i="2"/>
  <c r="AR49" i="2"/>
  <c r="AC48" i="2"/>
  <c r="N47" i="2"/>
  <c r="AV45" i="2"/>
  <c r="P45" i="2"/>
  <c r="AH43" i="2"/>
  <c r="AU41" i="2"/>
  <c r="R38" i="2"/>
  <c r="AM32" i="2"/>
  <c r="I51" i="2"/>
  <c r="AQ49" i="2"/>
  <c r="AB48" i="2"/>
  <c r="M47" i="2"/>
  <c r="O45" i="2"/>
  <c r="AG43" i="2"/>
  <c r="AR41" i="2"/>
  <c r="N38" i="2"/>
  <c r="AH32" i="2"/>
  <c r="Y29" i="2"/>
  <c r="BC20" i="2"/>
  <c r="L29" i="2"/>
  <c r="BD30" i="2"/>
  <c r="AQ32" i="2"/>
  <c r="Y34" i="2"/>
  <c r="AN35" i="2"/>
  <c r="BC36" i="2"/>
  <c r="U38" i="2"/>
  <c r="S40" i="2"/>
  <c r="AH41" i="2"/>
  <c r="AW42" i="2"/>
  <c r="O44" i="2"/>
  <c r="AL52" i="2"/>
  <c r="W51" i="2"/>
  <c r="H50" i="2"/>
  <c r="AP48" i="2"/>
  <c r="AA47" i="2"/>
  <c r="L46" i="2"/>
  <c r="AS44" i="2"/>
  <c r="I43" i="2"/>
  <c r="H41" i="2"/>
  <c r="U39" i="2"/>
  <c r="J34" i="2"/>
  <c r="I23" i="2"/>
  <c r="AW48" i="2"/>
  <c r="AH47" i="2"/>
  <c r="S46" i="2"/>
  <c r="BA44" i="2"/>
  <c r="R43" i="2"/>
  <c r="W41" i="2"/>
  <c r="S37" i="2"/>
  <c r="X31" i="2"/>
  <c r="AT50" i="2"/>
  <c r="AE49" i="2"/>
  <c r="P48" i="2"/>
  <c r="R46" i="2"/>
  <c r="AZ44" i="2"/>
  <c r="Q43" i="2"/>
  <c r="T41" i="2"/>
  <c r="O37" i="2"/>
  <c r="S31" i="2"/>
  <c r="I4" i="2" l="1"/>
  <c r="M4" i="2"/>
  <c r="R4" i="2"/>
  <c r="W4" i="2"/>
  <c r="AC4" i="2"/>
  <c r="H4" i="2"/>
  <c r="C21" i="2"/>
  <c r="J3" i="2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G6" i="2"/>
  <c r="G7" i="2" s="1"/>
  <c r="AA4" i="2" l="1"/>
  <c r="Q4" i="2"/>
  <c r="Z4" i="2"/>
  <c r="U4" i="2"/>
  <c r="O4" i="2"/>
  <c r="J4" i="2"/>
  <c r="V4" i="2"/>
  <c r="K4" i="2"/>
  <c r="Y4" i="2"/>
  <c r="S4" i="2"/>
  <c r="N4" i="2"/>
  <c r="AB4" i="2"/>
  <c r="X4" i="2"/>
  <c r="T4" i="2"/>
  <c r="P4" i="2"/>
  <c r="L4" i="2"/>
  <c r="G8" i="2"/>
  <c r="AD4" i="2"/>
  <c r="C23" i="2"/>
  <c r="G9" i="2" l="1"/>
  <c r="AE4" i="2"/>
  <c r="G10" i="2" l="1"/>
  <c r="AF4" i="2"/>
  <c r="G11" i="2" l="1"/>
  <c r="AG4" i="2"/>
  <c r="G12" i="2" l="1"/>
  <c r="AH4" i="2"/>
  <c r="G13" i="2" l="1"/>
  <c r="AI4" i="2"/>
  <c r="G14" i="2" l="1"/>
  <c r="AJ4" i="2"/>
  <c r="G15" i="2" l="1"/>
  <c r="AK4" i="2"/>
  <c r="G16" i="2" l="1"/>
  <c r="AL4" i="2"/>
  <c r="G17" i="2" l="1"/>
  <c r="AM4" i="2"/>
  <c r="G18" i="2" l="1"/>
  <c r="AN4" i="2"/>
  <c r="G19" i="2" l="1"/>
  <c r="AO4" i="2"/>
  <c r="G20" i="2" l="1"/>
  <c r="AP4" i="2"/>
  <c r="G21" i="2" l="1"/>
  <c r="AQ4" i="2"/>
  <c r="G22" i="2" l="1"/>
  <c r="AR4" i="2"/>
  <c r="G23" i="2" l="1"/>
  <c r="G24" i="2" l="1"/>
  <c r="G25" i="2" l="1"/>
  <c r="G26" i="2" l="1"/>
  <c r="G27" i="2" l="1"/>
  <c r="G28" i="2" l="1"/>
  <c r="G29" i="2" l="1"/>
  <c r="G30" i="2" l="1"/>
  <c r="G31" i="2" l="1"/>
  <c r="G32" i="2" l="1"/>
  <c r="G33" i="2" l="1"/>
  <c r="G34" i="2" l="1"/>
  <c r="G35" i="2" l="1"/>
  <c r="G36" i="2" l="1"/>
  <c r="G37" i="2" l="1"/>
  <c r="G38" i="2" l="1"/>
  <c r="G39" i="2" l="1"/>
  <c r="G40" i="2" l="1"/>
</calcChain>
</file>

<file path=xl/sharedStrings.xml><?xml version="1.0" encoding="utf-8"?>
<sst xmlns="http://schemas.openxmlformats.org/spreadsheetml/2006/main" count="746" uniqueCount="110">
  <si>
    <t>Temp °F</t>
  </si>
  <si>
    <t>Index</t>
  </si>
  <si>
    <t>Lower °F</t>
  </si>
  <si>
    <t>Upper °F</t>
  </si>
  <si>
    <t>Ratio</t>
  </si>
  <si>
    <t>Exp @ Lower</t>
  </si>
  <si>
    <t>Exp @ Upper</t>
  </si>
  <si>
    <t>in/100ft</t>
  </si>
  <si>
    <t>mm/m</t>
  </si>
  <si>
    <t>Expansion</t>
  </si>
  <si>
    <t>Temperature</t>
  </si>
  <si>
    <t>in</t>
  </si>
  <si>
    <t>Material</t>
  </si>
  <si>
    <t>in/ft</t>
  </si>
  <si>
    <t>ft</t>
  </si>
  <si>
    <t>-</t>
  </si>
  <si>
    <t>Select Material</t>
  </si>
  <si>
    <t>D, Pipe Dia</t>
  </si>
  <si>
    <t>E, Elastic Modulus</t>
  </si>
  <si>
    <t>psi</t>
  </si>
  <si>
    <t>Sa, Allowable Stress</t>
  </si>
  <si>
    <t>L, Length of Pipe</t>
  </si>
  <si>
    <t>dc, deflection thermal</t>
  </si>
  <si>
    <t>d, allowable deflection</t>
  </si>
  <si>
    <t>Status</t>
  </si>
  <si>
    <t>Thermal coefficent of Expansion</t>
  </si>
  <si>
    <t>Feet</t>
  </si>
  <si>
    <t>Leg 1</t>
  </si>
  <si>
    <t>Leg 2</t>
  </si>
  <si>
    <t>Deg F</t>
  </si>
  <si>
    <t>Carbon Steel Carbon-Moly-Low-Chrome (Through 3Cr-Mo)</t>
  </si>
  <si>
    <t>ASME B31.3-2010</t>
  </si>
  <si>
    <t>(10)</t>
  </si>
  <si>
    <t>Table C-1   Total Thermal Expansion, U.S. Units, for Metals</t>
  </si>
  <si>
    <t>Total Linear Thermal Expansion Between 70°F and Indicated Temperature, in./100 ft</t>
  </si>
  <si>
    <t>Temp., °F</t>
  </si>
  <si>
    <t>5Cr-Mo
Through
9Cr-Mo</t>
  </si>
  <si>
    <t>Austenitic Stainless Steels
18Cr-8Ni</t>
  </si>
  <si>
    <t>12Cr, 
17Cr, 
27Cr</t>
  </si>
  <si>
    <t>25Cr-20Ni</t>
  </si>
  <si>
    <t>UNS N04400 67Ni-30Cu</t>
  </si>
  <si>
    <t>3½Ni</t>
  </si>
  <si>
    <t>Copper and Copper Alloys</t>
  </si>
  <si>
    <t>Titanium
Gr. 1,2,3,7,
11,12,16,17</t>
  </si>
  <si>
    <t>Titanium
Gr. 9</t>
  </si>
  <si>
    <t>UNS
N10675</t>
  </si>
  <si>
    <t>Aluminium</t>
  </si>
  <si>
    <t>Gray
Cast Iron</t>
  </si>
  <si>
    <t>Bronze</t>
  </si>
  <si>
    <t>Brass</t>
  </si>
  <si>
    <t>70Cu-30Ni</t>
  </si>
  <si>
    <t>UNS N08XXX Series
Ni-Fe-Cr</t>
  </si>
  <si>
    <t>UNS N06XXX Series
Ni-Cr-Fe</t>
  </si>
  <si>
    <t>UNS N06035 Series
Ni-Cr-Mo</t>
  </si>
  <si>
    <t>UNS N06200
Ni-Cr-Mo</t>
  </si>
  <si>
    <t>Ductile Iron</t>
  </si>
  <si>
    <t>Invar 36Ni</t>
  </si>
  <si>
    <t>.</t>
  </si>
  <si>
    <t xml:space="preserve">GENERAL NOTE:   For Code reference to this Appendix, see para.319.3.1.  These data are for use in the absence of more applicable data.  It </t>
  </si>
  <si>
    <t>is the designer's responsibility to verify that materials are suitable for the intended service at the temperatures shown.</t>
  </si>
  <si>
    <t xml:space="preserve">    </t>
  </si>
  <si>
    <t xml:space="preserve">Advanced </t>
  </si>
  <si>
    <t>Simple Check</t>
  </si>
  <si>
    <t>Guided Cantilver Check</t>
  </si>
  <si>
    <t>Single Plane - 2 member Square leg configuration</t>
  </si>
  <si>
    <t>NS</t>
  </si>
  <si>
    <t>OD</t>
  </si>
  <si>
    <t>½" - 15</t>
  </si>
  <si>
    <t>¾" - 20</t>
  </si>
  <si>
    <t>1" - 25</t>
  </si>
  <si>
    <t>1¼" - 32</t>
  </si>
  <si>
    <t>1½" - 40</t>
  </si>
  <si>
    <t>2" - 50</t>
  </si>
  <si>
    <t>2½" - 65</t>
  </si>
  <si>
    <t>3" - 80</t>
  </si>
  <si>
    <t>3½" - 90</t>
  </si>
  <si>
    <t>4" - 100</t>
  </si>
  <si>
    <t>5" - 125</t>
  </si>
  <si>
    <t>6" - 150</t>
  </si>
  <si>
    <t>8" - 200</t>
  </si>
  <si>
    <t>10" - 250</t>
  </si>
  <si>
    <t>12" - 300</t>
  </si>
  <si>
    <t>14" - 350</t>
  </si>
  <si>
    <t>16" - 400</t>
  </si>
  <si>
    <t>18" - 450</t>
  </si>
  <si>
    <t>20" - 500</t>
  </si>
  <si>
    <t>22" - 550</t>
  </si>
  <si>
    <t>24" - 600</t>
  </si>
  <si>
    <t>26" - 650</t>
  </si>
  <si>
    <t>28" - 700</t>
  </si>
  <si>
    <t>30" - 750</t>
  </si>
  <si>
    <t>32" - 800</t>
  </si>
  <si>
    <t>34" - 850</t>
  </si>
  <si>
    <t>36" - 900</t>
  </si>
  <si>
    <t>38" - 950</t>
  </si>
  <si>
    <t>40" - 1000</t>
  </si>
  <si>
    <t>42" - 1050</t>
  </si>
  <si>
    <t>44" - 1100</t>
  </si>
  <si>
    <t>46" - 1150</t>
  </si>
  <si>
    <t>48" - 1200</t>
  </si>
  <si>
    <t>52" - 1300</t>
  </si>
  <si>
    <t>56" - 1400</t>
  </si>
  <si>
    <t>60" - 1500</t>
  </si>
  <si>
    <t>64" - 1600</t>
  </si>
  <si>
    <t>66" - 1650</t>
  </si>
  <si>
    <t>68" - 1700</t>
  </si>
  <si>
    <t>72" - 1800</t>
  </si>
  <si>
    <t>76" - 1900</t>
  </si>
  <si>
    <t>80" - 2000</t>
  </si>
  <si>
    <t>OD of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</si>
</sst>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>
    <font>
      <sz val="8"/>
      <color theme="1"/>
      <name val="Calibri"/>
      <family val="2"/>
      <scheme val="minor"/>
    </font>
    <font>
      <sz val="12"/>
      <name val="CG Times"/>
    </font>
    <font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 shrinkToFit="1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quotePrefix="1"/>
    <xf numFmtId="165" fontId="0" fillId="3" borderId="7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textRotation="90"/>
    </xf>
    <xf numFmtId="0" fontId="0" fillId="5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2">
    <cellStyle name="Normal" xfId="0" builtinId="0"/>
    <cellStyle name="Normal 3" xfId="1" xr:uid="{2E08441E-F9A3-463D-932D-3B0A4950B4B2}"/>
  </cellStyles>
  <dxfs count="2"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0327-5ADE-4280-96D4-B34661A23CAF}">
  <sheetPr codeName="Sheet1"/>
  <dimension ref="B1:BD59"/>
  <sheetViews>
    <sheetView tabSelected="1" zoomScale="70" zoomScaleNormal="70" workbookViewId="0">
      <selection activeCell="C4" sqref="C4"/>
    </sheetView>
  </sheetViews>
  <sheetFormatPr defaultColWidth="5.6640625" defaultRowHeight="15.75" customHeight="1"/>
  <cols>
    <col min="1" max="1" width="5.6640625" style="9"/>
    <col min="2" max="2" width="28.1640625" style="8" customWidth="1"/>
    <col min="3" max="3" width="49.6640625" style="9" customWidth="1"/>
    <col min="4" max="4" width="12.5" style="9" customWidth="1"/>
    <col min="5" max="5" width="5.33203125" style="9" bestFit="1" customWidth="1"/>
    <col min="6" max="6" width="5.6640625" style="9"/>
    <col min="7" max="44" width="5.6640625" style="9" customWidth="1"/>
    <col min="45" max="16384" width="5.6640625" style="9"/>
  </cols>
  <sheetData>
    <row r="1" spans="2:56" ht="8.25" customHeight="1"/>
    <row r="2" spans="2:56" ht="15.75" customHeight="1">
      <c r="F2" s="13"/>
      <c r="G2" s="20" t="s">
        <v>28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2:56" ht="15.75" customHeight="1">
      <c r="F3" s="21" t="s">
        <v>27</v>
      </c>
      <c r="G3" s="13" t="s">
        <v>26</v>
      </c>
      <c r="H3" s="24">
        <v>2</v>
      </c>
      <c r="I3" s="13">
        <v>2.5</v>
      </c>
      <c r="J3" s="13">
        <f>I3+0.5</f>
        <v>3</v>
      </c>
      <c r="K3" s="13">
        <f>J3+0.5</f>
        <v>3.5</v>
      </c>
      <c r="L3" s="13">
        <f>K3+0.5</f>
        <v>4</v>
      </c>
      <c r="M3" s="13">
        <f>L3+0.5</f>
        <v>4.5</v>
      </c>
      <c r="N3" s="13">
        <f>M3+0.5</f>
        <v>5</v>
      </c>
      <c r="O3" s="13">
        <f>N3+0.5</f>
        <v>5.5</v>
      </c>
      <c r="P3" s="13">
        <f>O3+0.5</f>
        <v>6</v>
      </c>
      <c r="Q3" s="13">
        <f>P3+0.5</f>
        <v>6.5</v>
      </c>
      <c r="R3" s="13">
        <f>Q3+0.5</f>
        <v>7</v>
      </c>
      <c r="S3" s="13">
        <f>R3+0.5</f>
        <v>7.5</v>
      </c>
      <c r="T3" s="13">
        <f>S3+0.5</f>
        <v>8</v>
      </c>
      <c r="U3" s="13">
        <f>T3+0.5</f>
        <v>8.5</v>
      </c>
      <c r="V3" s="13">
        <f>U3+0.5</f>
        <v>9</v>
      </c>
      <c r="W3" s="13">
        <f>V3+0.5</f>
        <v>9.5</v>
      </c>
      <c r="X3" s="13">
        <f>W3+0.5</f>
        <v>10</v>
      </c>
      <c r="Y3" s="13">
        <f>X3+0.5</f>
        <v>10.5</v>
      </c>
      <c r="Z3" s="13">
        <f>Y3+0.5</f>
        <v>11</v>
      </c>
      <c r="AA3" s="13">
        <f>Z3+0.5</f>
        <v>11.5</v>
      </c>
      <c r="AB3" s="13">
        <f>AA3+0.5</f>
        <v>12</v>
      </c>
      <c r="AC3" s="13">
        <f>AB3+1</f>
        <v>13</v>
      </c>
      <c r="AD3" s="13">
        <f t="shared" ref="AD3:BD3" si="0">AC3+1</f>
        <v>14</v>
      </c>
      <c r="AE3" s="13">
        <f t="shared" si="0"/>
        <v>15</v>
      </c>
      <c r="AF3" s="13">
        <f t="shared" si="0"/>
        <v>16</v>
      </c>
      <c r="AG3" s="13">
        <f t="shared" si="0"/>
        <v>17</v>
      </c>
      <c r="AH3" s="13">
        <f t="shared" si="0"/>
        <v>18</v>
      </c>
      <c r="AI3" s="13">
        <f t="shared" si="0"/>
        <v>19</v>
      </c>
      <c r="AJ3" s="13">
        <f t="shared" si="0"/>
        <v>20</v>
      </c>
      <c r="AK3" s="13">
        <f t="shared" si="0"/>
        <v>21</v>
      </c>
      <c r="AL3" s="13">
        <f t="shared" si="0"/>
        <v>22</v>
      </c>
      <c r="AM3" s="13">
        <f t="shared" si="0"/>
        <v>23</v>
      </c>
      <c r="AN3" s="13">
        <f t="shared" si="0"/>
        <v>24</v>
      </c>
      <c r="AO3" s="13">
        <f t="shared" si="0"/>
        <v>25</v>
      </c>
      <c r="AP3" s="13">
        <f t="shared" si="0"/>
        <v>26</v>
      </c>
      <c r="AQ3" s="13">
        <f t="shared" si="0"/>
        <v>27</v>
      </c>
      <c r="AR3" s="13">
        <f t="shared" si="0"/>
        <v>28</v>
      </c>
      <c r="AS3" s="13">
        <f t="shared" si="0"/>
        <v>29</v>
      </c>
      <c r="AT3" s="13">
        <f t="shared" si="0"/>
        <v>30</v>
      </c>
      <c r="AU3" s="13">
        <f t="shared" si="0"/>
        <v>31</v>
      </c>
      <c r="AV3" s="13">
        <f t="shared" si="0"/>
        <v>32</v>
      </c>
      <c r="AW3" s="13">
        <f t="shared" si="0"/>
        <v>33</v>
      </c>
      <c r="AX3" s="13">
        <f t="shared" si="0"/>
        <v>34</v>
      </c>
      <c r="AY3" s="13">
        <f t="shared" si="0"/>
        <v>35</v>
      </c>
      <c r="AZ3" s="13">
        <f t="shared" si="0"/>
        <v>36</v>
      </c>
      <c r="BA3" s="13">
        <f t="shared" si="0"/>
        <v>37</v>
      </c>
      <c r="BB3" s="13">
        <f t="shared" si="0"/>
        <v>38</v>
      </c>
      <c r="BC3" s="13">
        <f t="shared" si="0"/>
        <v>39</v>
      </c>
      <c r="BD3" s="13">
        <f t="shared" si="0"/>
        <v>40</v>
      </c>
    </row>
    <row r="4" spans="2:56" ht="15.75" customHeight="1">
      <c r="F4" s="21"/>
      <c r="G4" s="23">
        <v>2</v>
      </c>
      <c r="H4" s="27" t="str">
        <f>IF( (MAX(H$3,$G4)*$C$16)&lt;(48*(MIN(H$3,$G4))^2*$C$15/$C$14/$C$13),"Pass","Fail")</f>
        <v>Fail</v>
      </c>
      <c r="I4" s="25" t="str">
        <f>IF( (MAX(I$3,$G4)*$C$16)&lt;(48*(MIN(I$3,$G4))^2*$C$15/$C$14/$C$13),"Pass","Fail")</f>
        <v>Fail</v>
      </c>
      <c r="J4" s="22" t="str">
        <f>IF( (MAX(J$3,$G4)*$C$16)&lt;(48*(MIN(J$3,$G4))^2*$C$15/$C$14/$C$13),"Pass","Fail")</f>
        <v>Fail</v>
      </c>
      <c r="K4" s="22" t="str">
        <f>IF( (MAX(K$3,$G4)*$C$16)&lt;(48*(MIN(K$3,$G4))^2*$C$15/$C$14/$C$13),"Pass","Fail")</f>
        <v>Fail</v>
      </c>
      <c r="L4" s="22" t="str">
        <f>IF( (MAX(L$3,$G4)*$C$16)&lt;(48*(MIN(L$3,$G4))^2*$C$15/$C$14/$C$13),"Pass","Fail")</f>
        <v>Fail</v>
      </c>
      <c r="M4" s="22" t="str">
        <f>IF( (MAX(M$3,$G4)*$C$16)&lt;(48*(MIN(M$3,$G4))^2*$C$15/$C$14/$C$13),"Pass","Fail")</f>
        <v>Fail</v>
      </c>
      <c r="N4" s="22" t="str">
        <f>IF( (MAX(N$3,$G4)*$C$16)&lt;(48*(MIN(N$3,$G4))^2*$C$15/$C$14/$C$13),"Pass","Fail")</f>
        <v>Fail</v>
      </c>
      <c r="O4" s="22" t="str">
        <f>IF( (MAX(O$3,$G4)*$C$16)&lt;(48*(MIN(O$3,$G4))^2*$C$15/$C$14/$C$13),"Pass","Fail")</f>
        <v>Fail</v>
      </c>
      <c r="P4" s="22" t="str">
        <f>IF( (MAX(P$3,$G4)*$C$16)&lt;(48*(MIN(P$3,$G4))^2*$C$15/$C$14/$C$13),"Pass","Fail")</f>
        <v>Fail</v>
      </c>
      <c r="Q4" s="22" t="str">
        <f>IF( (MAX(Q$3,$G4)*$C$16)&lt;(48*(MIN(Q$3,$G4))^2*$C$15/$C$14/$C$13),"Pass","Fail")</f>
        <v>Fail</v>
      </c>
      <c r="R4" s="22" t="str">
        <f>IF( (MAX(R$3,$G4)*$C$16)&lt;(48*(MIN(R$3,$G4))^2*$C$15/$C$14/$C$13),"Pass","Fail")</f>
        <v>Fail</v>
      </c>
      <c r="S4" s="22" t="str">
        <f>IF( (MAX(S$3,$G4)*$C$16)&lt;(48*(MIN(S$3,$G4))^2*$C$15/$C$14/$C$13),"Pass","Fail")</f>
        <v>Fail</v>
      </c>
      <c r="T4" s="22" t="str">
        <f>IF( (MAX(T$3,$G4)*$C$16)&lt;(48*(MIN(T$3,$G4))^2*$C$15/$C$14/$C$13),"Pass","Fail")</f>
        <v>Fail</v>
      </c>
      <c r="U4" s="22" t="str">
        <f>IF( (MAX(U$3,$G4)*$C$16)&lt;(48*(MIN(U$3,$G4))^2*$C$15/$C$14/$C$13),"Pass","Fail")</f>
        <v>Fail</v>
      </c>
      <c r="V4" s="22" t="str">
        <f>IF( (MAX(V$3,$G4)*$C$16)&lt;(48*(MIN(V$3,$G4))^2*$C$15/$C$14/$C$13),"Pass","Fail")</f>
        <v>Fail</v>
      </c>
      <c r="W4" s="22" t="str">
        <f>IF( (MAX(W$3,$G4)*$C$16)&lt;(48*(MIN(W$3,$G4))^2*$C$15/$C$14/$C$13),"Pass","Fail")</f>
        <v>Fail</v>
      </c>
      <c r="X4" s="22" t="str">
        <f>IF( (MAX(X$3,$G4)*$C$16)&lt;(48*(MIN(X$3,$G4))^2*$C$15/$C$14/$C$13),"Pass","Fail")</f>
        <v>Fail</v>
      </c>
      <c r="Y4" s="22" t="str">
        <f>IF( (MAX(Y$3,$G4)*$C$16)&lt;(48*(MIN(Y$3,$G4))^2*$C$15/$C$14/$C$13),"Pass","Fail")</f>
        <v>Fail</v>
      </c>
      <c r="Z4" s="22" t="str">
        <f>IF( (MAX(Z$3,$G4)*$C$16)&lt;(48*(MIN(Z$3,$G4))^2*$C$15/$C$14/$C$13),"Pass","Fail")</f>
        <v>Fail</v>
      </c>
      <c r="AA4" s="22" t="str">
        <f>IF( (MAX(AA$3,$G4)*$C$16)&lt;(48*(MIN(AA$3,$G4))^2*$C$15/$C$14/$C$13),"Pass","Fail")</f>
        <v>Fail</v>
      </c>
      <c r="AB4" s="22" t="str">
        <f>IF( (MAX(AB$3,$G4)*$C$16)&lt;(48*(MIN(AB$3,$G4))^2*$C$15/$C$14/$C$13),"Pass","Fail")</f>
        <v>Fail</v>
      </c>
      <c r="AC4" s="22" t="str">
        <f>IF( (MAX(AC$3,$G4)*$C$16)&lt;(48*(MIN(AC$3,$G4))^2*$C$15/$C$14/$C$13),"Pass","Fail")</f>
        <v>Fail</v>
      </c>
      <c r="AD4" s="22" t="str">
        <f>IF( (MAX(AD$3,$G4)*$C$16)&lt;(48*(MIN(AD$3,$G4))^2*$C$15/$C$14/$C$13),"Pass","Fail")</f>
        <v>Fail</v>
      </c>
      <c r="AE4" s="22" t="str">
        <f>IF( (MAX(AE$3,$G4)*$C$16)&lt;(48*(MIN(AE$3,$G4))^2*$C$15/$C$14/$C$13),"Pass","Fail")</f>
        <v>Fail</v>
      </c>
      <c r="AF4" s="22" t="str">
        <f>IF( (MAX(AF$3,$G4)*$C$16)&lt;(48*(MIN(AF$3,$G4))^2*$C$15/$C$14/$C$13),"Pass","Fail")</f>
        <v>Fail</v>
      </c>
      <c r="AG4" s="22" t="str">
        <f>IF( (MAX(AG$3,$G4)*$C$16)&lt;(48*(MIN(AG$3,$G4))^2*$C$15/$C$14/$C$13),"Pass","Fail")</f>
        <v>Fail</v>
      </c>
      <c r="AH4" s="22" t="str">
        <f>IF( (MAX(AH$3,$G4)*$C$16)&lt;(48*(MIN(AH$3,$G4))^2*$C$15/$C$14/$C$13),"Pass","Fail")</f>
        <v>Fail</v>
      </c>
      <c r="AI4" s="22" t="str">
        <f>IF( (MAX(AI$3,$G4)*$C$16)&lt;(48*(MIN(AI$3,$G4))^2*$C$15/$C$14/$C$13),"Pass","Fail")</f>
        <v>Fail</v>
      </c>
      <c r="AJ4" s="22" t="str">
        <f>IF( (MAX(AJ$3,$G4)*$C$16)&lt;(48*(MIN(AJ$3,$G4))^2*$C$15/$C$14/$C$13),"Pass","Fail")</f>
        <v>Fail</v>
      </c>
      <c r="AK4" s="22" t="str">
        <f>IF( (MAX(AK$3,$G4)*$C$16)&lt;(48*(MIN(AK$3,$G4))^2*$C$15/$C$14/$C$13),"Pass","Fail")</f>
        <v>Fail</v>
      </c>
      <c r="AL4" s="22" t="str">
        <f>IF( (MAX(AL$3,$G4)*$C$16)&lt;(48*(MIN(AL$3,$G4))^2*$C$15/$C$14/$C$13),"Pass","Fail")</f>
        <v>Fail</v>
      </c>
      <c r="AM4" s="22" t="str">
        <f>IF( (MAX(AM$3,$G4)*$C$16)&lt;(48*(MIN(AM$3,$G4))^2*$C$15/$C$14/$C$13),"Pass","Fail")</f>
        <v>Fail</v>
      </c>
      <c r="AN4" s="22" t="str">
        <f>IF( (MAX(AN$3,$G4)*$C$16)&lt;(48*(MIN(AN$3,$G4))^2*$C$15/$C$14/$C$13),"Pass","Fail")</f>
        <v>Fail</v>
      </c>
      <c r="AO4" s="22" t="str">
        <f>IF( (MAX(AO$3,$G4)*$C$16)&lt;(48*(MIN(AO$3,$G4))^2*$C$15/$C$14/$C$13),"Pass","Fail")</f>
        <v>Fail</v>
      </c>
      <c r="AP4" s="22" t="str">
        <f>IF( (MAX(AP$3,$G4)*$C$16)&lt;(48*(MIN(AP$3,$G4))^2*$C$15/$C$14/$C$13),"Pass","Fail")</f>
        <v>Fail</v>
      </c>
      <c r="AQ4" s="22" t="str">
        <f>IF( (MAX(AQ$3,$G4)*$C$16)&lt;(48*(MIN(AQ$3,$G4))^2*$C$15/$C$14/$C$13),"Pass","Fail")</f>
        <v>Fail</v>
      </c>
      <c r="AR4" s="22" t="str">
        <f>IF( (MAX(AR$3,$G4)*$C$16)&lt;(48*(MIN(AR$3,$G4))^2*$C$15/$C$14/$C$13),"Pass","Fail")</f>
        <v>Fail</v>
      </c>
      <c r="AS4" s="22" t="str">
        <f t="shared" ref="AS4:BD19" si="1">IF( (MAX(AS$3,$G4)*$C$16)&lt;(48*(MIN(AS$3,$G4))^2*$C$15/$C$14/$C$13),"Pass","Fail")</f>
        <v>Fail</v>
      </c>
      <c r="AT4" s="22" t="str">
        <f t="shared" si="1"/>
        <v>Fail</v>
      </c>
      <c r="AU4" s="22" t="str">
        <f t="shared" si="1"/>
        <v>Fail</v>
      </c>
      <c r="AV4" s="22" t="str">
        <f t="shared" si="1"/>
        <v>Fail</v>
      </c>
      <c r="AW4" s="22" t="str">
        <f t="shared" si="1"/>
        <v>Fail</v>
      </c>
      <c r="AX4" s="22" t="str">
        <f t="shared" si="1"/>
        <v>Fail</v>
      </c>
      <c r="AY4" s="22" t="str">
        <f t="shared" si="1"/>
        <v>Fail</v>
      </c>
      <c r="AZ4" s="22" t="str">
        <f t="shared" si="1"/>
        <v>Fail</v>
      </c>
      <c r="BA4" s="22" t="str">
        <f t="shared" si="1"/>
        <v>Fail</v>
      </c>
      <c r="BB4" s="22" t="str">
        <f t="shared" si="1"/>
        <v>Fail</v>
      </c>
      <c r="BC4" s="22" t="str">
        <f t="shared" si="1"/>
        <v>Fail</v>
      </c>
      <c r="BD4" s="22" t="str">
        <f t="shared" si="1"/>
        <v>Fail</v>
      </c>
    </row>
    <row r="5" spans="2:56" ht="15.75" customHeight="1">
      <c r="F5" s="21"/>
      <c r="G5" s="13">
        <v>2.5</v>
      </c>
      <c r="H5" s="26" t="str">
        <f t="shared" ref="H5:W52" si="2">IF( (MAX(H$3,$G5)*$C$16)&lt;(48*(MIN(H$3,$G5))^2*$C$15/$C$14/$C$13),"Pass","Fail")</f>
        <v>Fail</v>
      </c>
      <c r="I5" s="27" t="str">
        <f t="shared" si="2"/>
        <v>Fail</v>
      </c>
      <c r="J5" s="25" t="str">
        <f t="shared" si="2"/>
        <v>Fail</v>
      </c>
      <c r="K5" s="22" t="str">
        <f t="shared" si="2"/>
        <v>Fail</v>
      </c>
      <c r="L5" s="22" t="str">
        <f t="shared" si="2"/>
        <v>Fail</v>
      </c>
      <c r="M5" s="22" t="str">
        <f t="shared" si="2"/>
        <v>Fail</v>
      </c>
      <c r="N5" s="22" t="str">
        <f t="shared" si="2"/>
        <v>Fail</v>
      </c>
      <c r="O5" s="22" t="str">
        <f t="shared" si="2"/>
        <v>Fail</v>
      </c>
      <c r="P5" s="22" t="str">
        <f t="shared" si="2"/>
        <v>Fail</v>
      </c>
      <c r="Q5" s="22" t="str">
        <f t="shared" si="2"/>
        <v>Fail</v>
      </c>
      <c r="R5" s="22" t="str">
        <f t="shared" si="2"/>
        <v>Fail</v>
      </c>
      <c r="S5" s="22" t="str">
        <f t="shared" si="2"/>
        <v>Fail</v>
      </c>
      <c r="T5" s="22" t="str">
        <f t="shared" si="2"/>
        <v>Fail</v>
      </c>
      <c r="U5" s="22" t="str">
        <f t="shared" si="2"/>
        <v>Fail</v>
      </c>
      <c r="V5" s="22" t="str">
        <f t="shared" si="2"/>
        <v>Fail</v>
      </c>
      <c r="W5" s="22" t="str">
        <f t="shared" si="2"/>
        <v>Fail</v>
      </c>
      <c r="X5" s="22" t="str">
        <f t="shared" ref="X5:AM52" si="3">IF( (MAX(X$3,$G5)*$C$16)&lt;(48*(MIN(X$3,$G5))^2*$C$15/$C$14/$C$13),"Pass","Fail")</f>
        <v>Fail</v>
      </c>
      <c r="Y5" s="22" t="str">
        <f t="shared" si="3"/>
        <v>Fail</v>
      </c>
      <c r="Z5" s="22" t="str">
        <f t="shared" si="3"/>
        <v>Fail</v>
      </c>
      <c r="AA5" s="22" t="str">
        <f t="shared" si="3"/>
        <v>Fail</v>
      </c>
      <c r="AB5" s="22" t="str">
        <f t="shared" si="3"/>
        <v>Fail</v>
      </c>
      <c r="AC5" s="22" t="str">
        <f t="shared" si="3"/>
        <v>Fail</v>
      </c>
      <c r="AD5" s="22" t="str">
        <f t="shared" si="3"/>
        <v>Fail</v>
      </c>
      <c r="AE5" s="22" t="str">
        <f t="shared" si="3"/>
        <v>Fail</v>
      </c>
      <c r="AF5" s="22" t="str">
        <f t="shared" si="3"/>
        <v>Fail</v>
      </c>
      <c r="AG5" s="22" t="str">
        <f t="shared" si="3"/>
        <v>Fail</v>
      </c>
      <c r="AH5" s="22" t="str">
        <f t="shared" si="3"/>
        <v>Fail</v>
      </c>
      <c r="AI5" s="22" t="str">
        <f t="shared" si="3"/>
        <v>Fail</v>
      </c>
      <c r="AJ5" s="22" t="str">
        <f t="shared" si="3"/>
        <v>Fail</v>
      </c>
      <c r="AK5" s="22" t="str">
        <f t="shared" si="3"/>
        <v>Fail</v>
      </c>
      <c r="AL5" s="22" t="str">
        <f t="shared" si="3"/>
        <v>Fail</v>
      </c>
      <c r="AM5" s="22" t="str">
        <f t="shared" si="3"/>
        <v>Fail</v>
      </c>
      <c r="AN5" s="22" t="str">
        <f t="shared" ref="AN5:BC52" si="4">IF( (MAX(AN$3,$G5)*$C$16)&lt;(48*(MIN(AN$3,$G5))^2*$C$15/$C$14/$C$13),"Pass","Fail")</f>
        <v>Fail</v>
      </c>
      <c r="AO5" s="22" t="str">
        <f t="shared" si="4"/>
        <v>Fail</v>
      </c>
      <c r="AP5" s="22" t="str">
        <f t="shared" si="4"/>
        <v>Fail</v>
      </c>
      <c r="AQ5" s="22" t="str">
        <f t="shared" si="4"/>
        <v>Fail</v>
      </c>
      <c r="AR5" s="22" t="str">
        <f t="shared" si="4"/>
        <v>Fail</v>
      </c>
      <c r="AS5" s="22" t="str">
        <f t="shared" si="1"/>
        <v>Fail</v>
      </c>
      <c r="AT5" s="22" t="str">
        <f t="shared" si="1"/>
        <v>Fail</v>
      </c>
      <c r="AU5" s="22" t="str">
        <f t="shared" si="1"/>
        <v>Fail</v>
      </c>
      <c r="AV5" s="22" t="str">
        <f t="shared" si="1"/>
        <v>Fail</v>
      </c>
      <c r="AW5" s="22" t="str">
        <f t="shared" si="1"/>
        <v>Fail</v>
      </c>
      <c r="AX5" s="22" t="str">
        <f t="shared" si="1"/>
        <v>Fail</v>
      </c>
      <c r="AY5" s="22" t="str">
        <f t="shared" si="1"/>
        <v>Fail</v>
      </c>
      <c r="AZ5" s="22" t="str">
        <f t="shared" si="1"/>
        <v>Fail</v>
      </c>
      <c r="BA5" s="22" t="str">
        <f t="shared" si="1"/>
        <v>Fail</v>
      </c>
      <c r="BB5" s="22" t="str">
        <f t="shared" si="1"/>
        <v>Fail</v>
      </c>
      <c r="BC5" s="22" t="str">
        <f t="shared" si="1"/>
        <v>Fail</v>
      </c>
      <c r="BD5" s="22" t="str">
        <f t="shared" si="1"/>
        <v>Fail</v>
      </c>
    </row>
    <row r="6" spans="2:56" ht="15.75" customHeight="1">
      <c r="B6" s="16" t="s">
        <v>63</v>
      </c>
      <c r="F6" s="21"/>
      <c r="G6" s="13">
        <f>G5+0.5</f>
        <v>3</v>
      </c>
      <c r="H6" s="22" t="str">
        <f t="shared" si="2"/>
        <v>Fail</v>
      </c>
      <c r="I6" s="26" t="str">
        <f t="shared" si="2"/>
        <v>Fail</v>
      </c>
      <c r="J6" s="27" t="str">
        <f t="shared" si="2"/>
        <v>Fail</v>
      </c>
      <c r="K6" s="25" t="str">
        <f t="shared" si="2"/>
        <v>Fail</v>
      </c>
      <c r="L6" s="22" t="str">
        <f t="shared" si="2"/>
        <v>Fail</v>
      </c>
      <c r="M6" s="22" t="str">
        <f t="shared" si="2"/>
        <v>Fail</v>
      </c>
      <c r="N6" s="22" t="str">
        <f t="shared" si="2"/>
        <v>Fail</v>
      </c>
      <c r="O6" s="22" t="str">
        <f t="shared" si="2"/>
        <v>Fail</v>
      </c>
      <c r="P6" s="22" t="str">
        <f t="shared" si="2"/>
        <v>Fail</v>
      </c>
      <c r="Q6" s="22" t="str">
        <f t="shared" si="2"/>
        <v>Fail</v>
      </c>
      <c r="R6" s="22" t="str">
        <f t="shared" si="2"/>
        <v>Fail</v>
      </c>
      <c r="S6" s="22" t="str">
        <f t="shared" si="2"/>
        <v>Fail</v>
      </c>
      <c r="T6" s="22" t="str">
        <f t="shared" si="2"/>
        <v>Fail</v>
      </c>
      <c r="U6" s="22" t="str">
        <f t="shared" si="2"/>
        <v>Fail</v>
      </c>
      <c r="V6" s="22" t="str">
        <f t="shared" si="2"/>
        <v>Fail</v>
      </c>
      <c r="W6" s="22" t="str">
        <f t="shared" si="2"/>
        <v>Fail</v>
      </c>
      <c r="X6" s="22" t="str">
        <f t="shared" si="3"/>
        <v>Fail</v>
      </c>
      <c r="Y6" s="22" t="str">
        <f t="shared" si="3"/>
        <v>Fail</v>
      </c>
      <c r="Z6" s="22" t="str">
        <f t="shared" si="3"/>
        <v>Fail</v>
      </c>
      <c r="AA6" s="22" t="str">
        <f t="shared" si="3"/>
        <v>Fail</v>
      </c>
      <c r="AB6" s="22" t="str">
        <f t="shared" si="3"/>
        <v>Fail</v>
      </c>
      <c r="AC6" s="22" t="str">
        <f t="shared" si="3"/>
        <v>Fail</v>
      </c>
      <c r="AD6" s="22" t="str">
        <f t="shared" si="3"/>
        <v>Fail</v>
      </c>
      <c r="AE6" s="22" t="str">
        <f t="shared" si="3"/>
        <v>Fail</v>
      </c>
      <c r="AF6" s="22" t="str">
        <f t="shared" si="3"/>
        <v>Fail</v>
      </c>
      <c r="AG6" s="22" t="str">
        <f t="shared" si="3"/>
        <v>Fail</v>
      </c>
      <c r="AH6" s="22" t="str">
        <f t="shared" si="3"/>
        <v>Fail</v>
      </c>
      <c r="AI6" s="22" t="str">
        <f t="shared" si="3"/>
        <v>Fail</v>
      </c>
      <c r="AJ6" s="22" t="str">
        <f t="shared" si="3"/>
        <v>Fail</v>
      </c>
      <c r="AK6" s="22" t="str">
        <f t="shared" si="3"/>
        <v>Fail</v>
      </c>
      <c r="AL6" s="22" t="str">
        <f t="shared" si="3"/>
        <v>Fail</v>
      </c>
      <c r="AM6" s="22" t="str">
        <f t="shared" si="3"/>
        <v>Fail</v>
      </c>
      <c r="AN6" s="22" t="str">
        <f t="shared" si="4"/>
        <v>Fail</v>
      </c>
      <c r="AO6" s="22" t="str">
        <f t="shared" si="4"/>
        <v>Fail</v>
      </c>
      <c r="AP6" s="22" t="str">
        <f t="shared" si="4"/>
        <v>Fail</v>
      </c>
      <c r="AQ6" s="22" t="str">
        <f t="shared" si="4"/>
        <v>Fail</v>
      </c>
      <c r="AR6" s="22" t="str">
        <f t="shared" si="4"/>
        <v>Fail</v>
      </c>
      <c r="AS6" s="22" t="str">
        <f t="shared" si="1"/>
        <v>Fail</v>
      </c>
      <c r="AT6" s="22" t="str">
        <f t="shared" si="1"/>
        <v>Fail</v>
      </c>
      <c r="AU6" s="22" t="str">
        <f t="shared" si="1"/>
        <v>Fail</v>
      </c>
      <c r="AV6" s="22" t="str">
        <f t="shared" si="1"/>
        <v>Fail</v>
      </c>
      <c r="AW6" s="22" t="str">
        <f t="shared" si="1"/>
        <v>Fail</v>
      </c>
      <c r="AX6" s="22" t="str">
        <f t="shared" si="1"/>
        <v>Fail</v>
      </c>
      <c r="AY6" s="22" t="str">
        <f t="shared" si="1"/>
        <v>Fail</v>
      </c>
      <c r="AZ6" s="22" t="str">
        <f t="shared" si="1"/>
        <v>Fail</v>
      </c>
      <c r="BA6" s="22" t="str">
        <f t="shared" si="1"/>
        <v>Fail</v>
      </c>
      <c r="BB6" s="22" t="str">
        <f t="shared" si="1"/>
        <v>Fail</v>
      </c>
      <c r="BC6" s="22" t="str">
        <f t="shared" si="1"/>
        <v>Fail</v>
      </c>
      <c r="BD6" s="22" t="str">
        <f t="shared" si="1"/>
        <v>Fail</v>
      </c>
    </row>
    <row r="7" spans="2:56" ht="15.75" customHeight="1">
      <c r="B7" s="8" t="s">
        <v>64</v>
      </c>
      <c r="F7" s="21"/>
      <c r="G7" s="13">
        <f t="shared" ref="G7:G24" si="5">G6+0.5</f>
        <v>3.5</v>
      </c>
      <c r="H7" s="22" t="str">
        <f t="shared" si="2"/>
        <v>Fail</v>
      </c>
      <c r="I7" s="22" t="str">
        <f t="shared" si="2"/>
        <v>Fail</v>
      </c>
      <c r="J7" s="26" t="str">
        <f t="shared" si="2"/>
        <v>Fail</v>
      </c>
      <c r="K7" s="27" t="str">
        <f t="shared" si="2"/>
        <v>Fail</v>
      </c>
      <c r="L7" s="25" t="str">
        <f t="shared" si="2"/>
        <v>Fail</v>
      </c>
      <c r="M7" s="22" t="str">
        <f t="shared" si="2"/>
        <v>Fail</v>
      </c>
      <c r="N7" s="22" t="str">
        <f t="shared" si="2"/>
        <v>Fail</v>
      </c>
      <c r="O7" s="22" t="str">
        <f t="shared" si="2"/>
        <v>Fail</v>
      </c>
      <c r="P7" s="22" t="str">
        <f t="shared" si="2"/>
        <v>Fail</v>
      </c>
      <c r="Q7" s="22" t="str">
        <f t="shared" si="2"/>
        <v>Fail</v>
      </c>
      <c r="R7" s="22" t="str">
        <f t="shared" si="2"/>
        <v>Fail</v>
      </c>
      <c r="S7" s="22" t="str">
        <f t="shared" si="2"/>
        <v>Fail</v>
      </c>
      <c r="T7" s="22" t="str">
        <f t="shared" si="2"/>
        <v>Fail</v>
      </c>
      <c r="U7" s="22" t="str">
        <f t="shared" si="2"/>
        <v>Fail</v>
      </c>
      <c r="V7" s="22" t="str">
        <f t="shared" si="2"/>
        <v>Fail</v>
      </c>
      <c r="W7" s="22" t="str">
        <f t="shared" si="2"/>
        <v>Fail</v>
      </c>
      <c r="X7" s="22" t="str">
        <f t="shared" si="3"/>
        <v>Fail</v>
      </c>
      <c r="Y7" s="22" t="str">
        <f t="shared" si="3"/>
        <v>Fail</v>
      </c>
      <c r="Z7" s="22" t="str">
        <f t="shared" si="3"/>
        <v>Fail</v>
      </c>
      <c r="AA7" s="22" t="str">
        <f t="shared" si="3"/>
        <v>Fail</v>
      </c>
      <c r="AB7" s="22" t="str">
        <f t="shared" si="3"/>
        <v>Fail</v>
      </c>
      <c r="AC7" s="22" t="str">
        <f t="shared" si="3"/>
        <v>Fail</v>
      </c>
      <c r="AD7" s="22" t="str">
        <f t="shared" si="3"/>
        <v>Fail</v>
      </c>
      <c r="AE7" s="22" t="str">
        <f t="shared" si="3"/>
        <v>Fail</v>
      </c>
      <c r="AF7" s="22" t="str">
        <f t="shared" si="3"/>
        <v>Fail</v>
      </c>
      <c r="AG7" s="22" t="str">
        <f t="shared" si="3"/>
        <v>Fail</v>
      </c>
      <c r="AH7" s="22" t="str">
        <f t="shared" si="3"/>
        <v>Fail</v>
      </c>
      <c r="AI7" s="22" t="str">
        <f t="shared" si="3"/>
        <v>Fail</v>
      </c>
      <c r="AJ7" s="22" t="str">
        <f t="shared" si="3"/>
        <v>Fail</v>
      </c>
      <c r="AK7" s="22" t="str">
        <f t="shared" si="3"/>
        <v>Fail</v>
      </c>
      <c r="AL7" s="22" t="str">
        <f t="shared" si="3"/>
        <v>Fail</v>
      </c>
      <c r="AM7" s="22" t="str">
        <f t="shared" si="3"/>
        <v>Fail</v>
      </c>
      <c r="AN7" s="22" t="str">
        <f t="shared" si="4"/>
        <v>Fail</v>
      </c>
      <c r="AO7" s="22" t="str">
        <f t="shared" si="4"/>
        <v>Fail</v>
      </c>
      <c r="AP7" s="22" t="str">
        <f t="shared" si="4"/>
        <v>Fail</v>
      </c>
      <c r="AQ7" s="22" t="str">
        <f t="shared" si="4"/>
        <v>Fail</v>
      </c>
      <c r="AR7" s="22" t="str">
        <f t="shared" si="4"/>
        <v>Fail</v>
      </c>
      <c r="AS7" s="22" t="str">
        <f t="shared" si="1"/>
        <v>Fail</v>
      </c>
      <c r="AT7" s="22" t="str">
        <f t="shared" si="1"/>
        <v>Fail</v>
      </c>
      <c r="AU7" s="22" t="str">
        <f t="shared" si="1"/>
        <v>Fail</v>
      </c>
      <c r="AV7" s="22" t="str">
        <f t="shared" si="1"/>
        <v>Fail</v>
      </c>
      <c r="AW7" s="22" t="str">
        <f t="shared" si="1"/>
        <v>Fail</v>
      </c>
      <c r="AX7" s="22" t="str">
        <f t="shared" si="1"/>
        <v>Fail</v>
      </c>
      <c r="AY7" s="22" t="str">
        <f t="shared" si="1"/>
        <v>Fail</v>
      </c>
      <c r="AZ7" s="22" t="str">
        <f t="shared" si="1"/>
        <v>Fail</v>
      </c>
      <c r="BA7" s="22" t="str">
        <f t="shared" si="1"/>
        <v>Fail</v>
      </c>
      <c r="BB7" s="22" t="str">
        <f t="shared" si="1"/>
        <v>Fail</v>
      </c>
      <c r="BC7" s="22" t="str">
        <f t="shared" si="1"/>
        <v>Fail</v>
      </c>
      <c r="BD7" s="22" t="str">
        <f t="shared" si="1"/>
        <v>Fail</v>
      </c>
    </row>
    <row r="8" spans="2:56" ht="15.75" customHeight="1">
      <c r="F8" s="21"/>
      <c r="G8" s="13">
        <f t="shared" si="5"/>
        <v>4</v>
      </c>
      <c r="H8" s="22" t="str">
        <f t="shared" si="2"/>
        <v>Fail</v>
      </c>
      <c r="I8" s="22" t="str">
        <f t="shared" si="2"/>
        <v>Fail</v>
      </c>
      <c r="J8" s="22" t="str">
        <f t="shared" si="2"/>
        <v>Fail</v>
      </c>
      <c r="K8" s="26" t="str">
        <f t="shared" si="2"/>
        <v>Fail</v>
      </c>
      <c r="L8" s="27" t="str">
        <f t="shared" si="2"/>
        <v>Pass</v>
      </c>
      <c r="M8" s="25" t="str">
        <f t="shared" si="2"/>
        <v>Pass</v>
      </c>
      <c r="N8" s="22" t="str">
        <f t="shared" si="2"/>
        <v>Fail</v>
      </c>
      <c r="O8" s="22" t="str">
        <f t="shared" si="2"/>
        <v>Fail</v>
      </c>
      <c r="P8" s="22" t="str">
        <f t="shared" si="2"/>
        <v>Fail</v>
      </c>
      <c r="Q8" s="22" t="str">
        <f t="shared" si="2"/>
        <v>Fail</v>
      </c>
      <c r="R8" s="22" t="str">
        <f t="shared" si="2"/>
        <v>Fail</v>
      </c>
      <c r="S8" s="22" t="str">
        <f t="shared" si="2"/>
        <v>Fail</v>
      </c>
      <c r="T8" s="22" t="str">
        <f t="shared" si="2"/>
        <v>Fail</v>
      </c>
      <c r="U8" s="22" t="str">
        <f t="shared" si="2"/>
        <v>Fail</v>
      </c>
      <c r="V8" s="22" t="str">
        <f t="shared" si="2"/>
        <v>Fail</v>
      </c>
      <c r="W8" s="22" t="str">
        <f t="shared" si="2"/>
        <v>Fail</v>
      </c>
      <c r="X8" s="22" t="str">
        <f t="shared" si="3"/>
        <v>Fail</v>
      </c>
      <c r="Y8" s="22" t="str">
        <f t="shared" si="3"/>
        <v>Fail</v>
      </c>
      <c r="Z8" s="22" t="str">
        <f t="shared" si="3"/>
        <v>Fail</v>
      </c>
      <c r="AA8" s="22" t="str">
        <f t="shared" si="3"/>
        <v>Fail</v>
      </c>
      <c r="AB8" s="22" t="str">
        <f t="shared" si="3"/>
        <v>Fail</v>
      </c>
      <c r="AC8" s="22" t="str">
        <f t="shared" si="3"/>
        <v>Fail</v>
      </c>
      <c r="AD8" s="22" t="str">
        <f t="shared" si="3"/>
        <v>Fail</v>
      </c>
      <c r="AE8" s="22" t="str">
        <f t="shared" si="3"/>
        <v>Fail</v>
      </c>
      <c r="AF8" s="22" t="str">
        <f t="shared" si="3"/>
        <v>Fail</v>
      </c>
      <c r="AG8" s="22" t="str">
        <f t="shared" si="3"/>
        <v>Fail</v>
      </c>
      <c r="AH8" s="22" t="str">
        <f t="shared" si="3"/>
        <v>Fail</v>
      </c>
      <c r="AI8" s="22" t="str">
        <f t="shared" si="3"/>
        <v>Fail</v>
      </c>
      <c r="AJ8" s="22" t="str">
        <f t="shared" si="3"/>
        <v>Fail</v>
      </c>
      <c r="AK8" s="22" t="str">
        <f t="shared" si="3"/>
        <v>Fail</v>
      </c>
      <c r="AL8" s="22" t="str">
        <f t="shared" si="3"/>
        <v>Fail</v>
      </c>
      <c r="AM8" s="22" t="str">
        <f t="shared" si="3"/>
        <v>Fail</v>
      </c>
      <c r="AN8" s="22" t="str">
        <f t="shared" si="4"/>
        <v>Fail</v>
      </c>
      <c r="AO8" s="22" t="str">
        <f t="shared" si="4"/>
        <v>Fail</v>
      </c>
      <c r="AP8" s="22" t="str">
        <f t="shared" si="4"/>
        <v>Fail</v>
      </c>
      <c r="AQ8" s="22" t="str">
        <f t="shared" si="4"/>
        <v>Fail</v>
      </c>
      <c r="AR8" s="22" t="str">
        <f t="shared" si="4"/>
        <v>Fail</v>
      </c>
      <c r="AS8" s="22" t="str">
        <f t="shared" si="1"/>
        <v>Fail</v>
      </c>
      <c r="AT8" s="22" t="str">
        <f t="shared" si="1"/>
        <v>Fail</v>
      </c>
      <c r="AU8" s="22" t="str">
        <f t="shared" si="1"/>
        <v>Fail</v>
      </c>
      <c r="AV8" s="22" t="str">
        <f t="shared" si="1"/>
        <v>Fail</v>
      </c>
      <c r="AW8" s="22" t="str">
        <f t="shared" si="1"/>
        <v>Fail</v>
      </c>
      <c r="AX8" s="22" t="str">
        <f t="shared" si="1"/>
        <v>Fail</v>
      </c>
      <c r="AY8" s="22" t="str">
        <f t="shared" si="1"/>
        <v>Fail</v>
      </c>
      <c r="AZ8" s="22" t="str">
        <f t="shared" si="1"/>
        <v>Fail</v>
      </c>
      <c r="BA8" s="22" t="str">
        <f t="shared" si="1"/>
        <v>Fail</v>
      </c>
      <c r="BB8" s="22" t="str">
        <f t="shared" si="1"/>
        <v>Fail</v>
      </c>
      <c r="BC8" s="22" t="str">
        <f t="shared" si="1"/>
        <v>Fail</v>
      </c>
      <c r="BD8" s="22" t="str">
        <f t="shared" si="1"/>
        <v>Fail</v>
      </c>
    </row>
    <row r="9" spans="2:56" ht="15.75" customHeight="1">
      <c r="B9" s="16" t="s">
        <v>62</v>
      </c>
      <c r="F9" s="21"/>
      <c r="G9" s="13">
        <f t="shared" si="5"/>
        <v>4.5</v>
      </c>
      <c r="H9" s="22" t="str">
        <f t="shared" si="2"/>
        <v>Fail</v>
      </c>
      <c r="I9" s="22" t="str">
        <f t="shared" si="2"/>
        <v>Fail</v>
      </c>
      <c r="J9" s="22" t="str">
        <f t="shared" si="2"/>
        <v>Fail</v>
      </c>
      <c r="K9" s="22" t="str">
        <f t="shared" si="2"/>
        <v>Fail</v>
      </c>
      <c r="L9" s="26" t="str">
        <f t="shared" si="2"/>
        <v>Pass</v>
      </c>
      <c r="M9" s="27" t="str">
        <f t="shared" si="2"/>
        <v>Pass</v>
      </c>
      <c r="N9" s="25" t="str">
        <f t="shared" si="2"/>
        <v>Pass</v>
      </c>
      <c r="O9" s="22" t="str">
        <f t="shared" si="2"/>
        <v>Pass</v>
      </c>
      <c r="P9" s="22" t="str">
        <f t="shared" si="2"/>
        <v>Fail</v>
      </c>
      <c r="Q9" s="22" t="str">
        <f t="shared" si="2"/>
        <v>Fail</v>
      </c>
      <c r="R9" s="22" t="str">
        <f t="shared" si="2"/>
        <v>Fail</v>
      </c>
      <c r="S9" s="22" t="str">
        <f t="shared" si="2"/>
        <v>Fail</v>
      </c>
      <c r="T9" s="22" t="str">
        <f t="shared" si="2"/>
        <v>Fail</v>
      </c>
      <c r="U9" s="22" t="str">
        <f t="shared" si="2"/>
        <v>Fail</v>
      </c>
      <c r="V9" s="22" t="str">
        <f t="shared" si="2"/>
        <v>Fail</v>
      </c>
      <c r="W9" s="22" t="str">
        <f t="shared" si="2"/>
        <v>Fail</v>
      </c>
      <c r="X9" s="22" t="str">
        <f t="shared" si="3"/>
        <v>Fail</v>
      </c>
      <c r="Y9" s="22" t="str">
        <f t="shared" si="3"/>
        <v>Fail</v>
      </c>
      <c r="Z9" s="22" t="str">
        <f t="shared" si="3"/>
        <v>Fail</v>
      </c>
      <c r="AA9" s="22" t="str">
        <f t="shared" si="3"/>
        <v>Fail</v>
      </c>
      <c r="AB9" s="22" t="str">
        <f t="shared" si="3"/>
        <v>Fail</v>
      </c>
      <c r="AC9" s="22" t="str">
        <f t="shared" si="3"/>
        <v>Fail</v>
      </c>
      <c r="AD9" s="22" t="str">
        <f t="shared" si="3"/>
        <v>Fail</v>
      </c>
      <c r="AE9" s="22" t="str">
        <f t="shared" si="3"/>
        <v>Fail</v>
      </c>
      <c r="AF9" s="22" t="str">
        <f t="shared" si="3"/>
        <v>Fail</v>
      </c>
      <c r="AG9" s="22" t="str">
        <f t="shared" si="3"/>
        <v>Fail</v>
      </c>
      <c r="AH9" s="22" t="str">
        <f t="shared" si="3"/>
        <v>Fail</v>
      </c>
      <c r="AI9" s="22" t="str">
        <f t="shared" si="3"/>
        <v>Fail</v>
      </c>
      <c r="AJ9" s="22" t="str">
        <f t="shared" si="3"/>
        <v>Fail</v>
      </c>
      <c r="AK9" s="22" t="str">
        <f t="shared" si="3"/>
        <v>Fail</v>
      </c>
      <c r="AL9" s="22" t="str">
        <f t="shared" si="3"/>
        <v>Fail</v>
      </c>
      <c r="AM9" s="22" t="str">
        <f t="shared" si="3"/>
        <v>Fail</v>
      </c>
      <c r="AN9" s="22" t="str">
        <f t="shared" si="4"/>
        <v>Fail</v>
      </c>
      <c r="AO9" s="22" t="str">
        <f t="shared" si="4"/>
        <v>Fail</v>
      </c>
      <c r="AP9" s="22" t="str">
        <f t="shared" si="4"/>
        <v>Fail</v>
      </c>
      <c r="AQ9" s="22" t="str">
        <f t="shared" si="4"/>
        <v>Fail</v>
      </c>
      <c r="AR9" s="22" t="str">
        <f t="shared" si="4"/>
        <v>Fail</v>
      </c>
      <c r="AS9" s="22" t="str">
        <f t="shared" si="1"/>
        <v>Fail</v>
      </c>
      <c r="AT9" s="22" t="str">
        <f t="shared" si="1"/>
        <v>Fail</v>
      </c>
      <c r="AU9" s="22" t="str">
        <f t="shared" si="1"/>
        <v>Fail</v>
      </c>
      <c r="AV9" s="22" t="str">
        <f t="shared" si="1"/>
        <v>Fail</v>
      </c>
      <c r="AW9" s="22" t="str">
        <f t="shared" si="1"/>
        <v>Fail</v>
      </c>
      <c r="AX9" s="22" t="str">
        <f t="shared" si="1"/>
        <v>Fail</v>
      </c>
      <c r="AY9" s="22" t="str">
        <f t="shared" si="1"/>
        <v>Fail</v>
      </c>
      <c r="AZ9" s="22" t="str">
        <f t="shared" si="1"/>
        <v>Fail</v>
      </c>
      <c r="BA9" s="22" t="str">
        <f t="shared" si="1"/>
        <v>Fail</v>
      </c>
      <c r="BB9" s="22" t="str">
        <f t="shared" si="1"/>
        <v>Fail</v>
      </c>
      <c r="BC9" s="22" t="str">
        <f t="shared" si="1"/>
        <v>Fail</v>
      </c>
      <c r="BD9" s="22" t="str">
        <f t="shared" si="1"/>
        <v>Fail</v>
      </c>
    </row>
    <row r="10" spans="2:56" ht="15.75" customHeight="1">
      <c r="B10" s="11" t="s">
        <v>17</v>
      </c>
      <c r="C10" s="12" t="s">
        <v>76</v>
      </c>
      <c r="D10" s="13" t="s">
        <v>11</v>
      </c>
      <c r="F10" s="21"/>
      <c r="G10" s="13">
        <f t="shared" si="5"/>
        <v>5</v>
      </c>
      <c r="H10" s="22" t="str">
        <f t="shared" si="2"/>
        <v>Fail</v>
      </c>
      <c r="I10" s="22" t="str">
        <f t="shared" si="2"/>
        <v>Fail</v>
      </c>
      <c r="J10" s="22" t="str">
        <f t="shared" si="2"/>
        <v>Fail</v>
      </c>
      <c r="K10" s="22" t="str">
        <f t="shared" si="2"/>
        <v>Fail</v>
      </c>
      <c r="L10" s="22" t="str">
        <f t="shared" si="2"/>
        <v>Fail</v>
      </c>
      <c r="M10" s="26" t="str">
        <f t="shared" si="2"/>
        <v>Pass</v>
      </c>
      <c r="N10" s="27" t="str">
        <f t="shared" si="2"/>
        <v>Pass</v>
      </c>
      <c r="O10" s="25" t="str">
        <f t="shared" si="2"/>
        <v>Pass</v>
      </c>
      <c r="P10" s="22" t="str">
        <f t="shared" si="2"/>
        <v>Pass</v>
      </c>
      <c r="Q10" s="22" t="str">
        <f t="shared" si="2"/>
        <v>Pass</v>
      </c>
      <c r="R10" s="22" t="str">
        <f t="shared" si="2"/>
        <v>Pass</v>
      </c>
      <c r="S10" s="22" t="str">
        <f t="shared" si="2"/>
        <v>Fail</v>
      </c>
      <c r="T10" s="22" t="str">
        <f t="shared" si="2"/>
        <v>Fail</v>
      </c>
      <c r="U10" s="22" t="str">
        <f t="shared" si="2"/>
        <v>Fail</v>
      </c>
      <c r="V10" s="22" t="str">
        <f t="shared" si="2"/>
        <v>Fail</v>
      </c>
      <c r="W10" s="22" t="str">
        <f t="shared" si="2"/>
        <v>Fail</v>
      </c>
      <c r="X10" s="22" t="str">
        <f t="shared" si="3"/>
        <v>Fail</v>
      </c>
      <c r="Y10" s="22" t="str">
        <f t="shared" si="3"/>
        <v>Fail</v>
      </c>
      <c r="Z10" s="22" t="str">
        <f t="shared" si="3"/>
        <v>Fail</v>
      </c>
      <c r="AA10" s="22" t="str">
        <f t="shared" si="3"/>
        <v>Fail</v>
      </c>
      <c r="AB10" s="22" t="str">
        <f t="shared" si="3"/>
        <v>Fail</v>
      </c>
      <c r="AC10" s="22" t="str">
        <f t="shared" si="3"/>
        <v>Fail</v>
      </c>
      <c r="AD10" s="22" t="str">
        <f t="shared" si="3"/>
        <v>Fail</v>
      </c>
      <c r="AE10" s="22" t="str">
        <f t="shared" si="3"/>
        <v>Fail</v>
      </c>
      <c r="AF10" s="22" t="str">
        <f t="shared" si="3"/>
        <v>Fail</v>
      </c>
      <c r="AG10" s="22" t="str">
        <f t="shared" si="3"/>
        <v>Fail</v>
      </c>
      <c r="AH10" s="22" t="str">
        <f t="shared" si="3"/>
        <v>Fail</v>
      </c>
      <c r="AI10" s="22" t="str">
        <f t="shared" si="3"/>
        <v>Fail</v>
      </c>
      <c r="AJ10" s="22" t="str">
        <f t="shared" si="3"/>
        <v>Fail</v>
      </c>
      <c r="AK10" s="22" t="str">
        <f t="shared" si="3"/>
        <v>Fail</v>
      </c>
      <c r="AL10" s="22" t="str">
        <f t="shared" si="3"/>
        <v>Fail</v>
      </c>
      <c r="AM10" s="22" t="str">
        <f t="shared" si="3"/>
        <v>Fail</v>
      </c>
      <c r="AN10" s="22" t="str">
        <f t="shared" si="4"/>
        <v>Fail</v>
      </c>
      <c r="AO10" s="22" t="str">
        <f t="shared" si="4"/>
        <v>Fail</v>
      </c>
      <c r="AP10" s="22" t="str">
        <f t="shared" si="4"/>
        <v>Fail</v>
      </c>
      <c r="AQ10" s="22" t="str">
        <f t="shared" si="4"/>
        <v>Fail</v>
      </c>
      <c r="AR10" s="22" t="str">
        <f t="shared" si="4"/>
        <v>Fail</v>
      </c>
      <c r="AS10" s="22" t="str">
        <f t="shared" si="1"/>
        <v>Fail</v>
      </c>
      <c r="AT10" s="22" t="str">
        <f t="shared" si="1"/>
        <v>Fail</v>
      </c>
      <c r="AU10" s="22" t="str">
        <f t="shared" si="1"/>
        <v>Fail</v>
      </c>
      <c r="AV10" s="22" t="str">
        <f t="shared" si="1"/>
        <v>Fail</v>
      </c>
      <c r="AW10" s="22" t="str">
        <f t="shared" si="1"/>
        <v>Fail</v>
      </c>
      <c r="AX10" s="22" t="str">
        <f t="shared" si="1"/>
        <v>Fail</v>
      </c>
      <c r="AY10" s="22" t="str">
        <f t="shared" si="1"/>
        <v>Fail</v>
      </c>
      <c r="AZ10" s="22" t="str">
        <f t="shared" si="1"/>
        <v>Fail</v>
      </c>
      <c r="BA10" s="22" t="str">
        <f t="shared" si="1"/>
        <v>Fail</v>
      </c>
      <c r="BB10" s="22" t="str">
        <f t="shared" si="1"/>
        <v>Fail</v>
      </c>
      <c r="BC10" s="22" t="str">
        <f t="shared" si="1"/>
        <v>Fail</v>
      </c>
      <c r="BD10" s="22" t="str">
        <f t="shared" si="1"/>
        <v>Fail</v>
      </c>
    </row>
    <row r="11" spans="2:56" ht="15.75" customHeight="1">
      <c r="B11" s="11" t="s">
        <v>16</v>
      </c>
      <c r="C11" s="12" t="s">
        <v>37</v>
      </c>
      <c r="D11" s="13"/>
      <c r="F11" s="21"/>
      <c r="G11" s="13">
        <f t="shared" si="5"/>
        <v>5.5</v>
      </c>
      <c r="H11" s="22" t="str">
        <f t="shared" si="2"/>
        <v>Fail</v>
      </c>
      <c r="I11" s="22" t="str">
        <f t="shared" si="2"/>
        <v>Fail</v>
      </c>
      <c r="J11" s="22" t="str">
        <f t="shared" si="2"/>
        <v>Fail</v>
      </c>
      <c r="K11" s="22" t="str">
        <f t="shared" si="2"/>
        <v>Fail</v>
      </c>
      <c r="L11" s="22" t="str">
        <f t="shared" si="2"/>
        <v>Fail</v>
      </c>
      <c r="M11" s="22" t="str">
        <f t="shared" si="2"/>
        <v>Pass</v>
      </c>
      <c r="N11" s="26" t="str">
        <f t="shared" si="2"/>
        <v>Pass</v>
      </c>
      <c r="O11" s="27" t="str">
        <f t="shared" si="2"/>
        <v>Pass</v>
      </c>
      <c r="P11" s="25" t="str">
        <f t="shared" si="2"/>
        <v>Pass</v>
      </c>
      <c r="Q11" s="22" t="str">
        <f t="shared" si="2"/>
        <v>Pass</v>
      </c>
      <c r="R11" s="22" t="str">
        <f t="shared" si="2"/>
        <v>Pass</v>
      </c>
      <c r="S11" s="22" t="str">
        <f t="shared" si="2"/>
        <v>Pass</v>
      </c>
      <c r="T11" s="22" t="str">
        <f t="shared" si="2"/>
        <v>Pass</v>
      </c>
      <c r="U11" s="22" t="str">
        <f t="shared" si="2"/>
        <v>Pass</v>
      </c>
      <c r="V11" s="22" t="str">
        <f t="shared" si="2"/>
        <v>Fail</v>
      </c>
      <c r="W11" s="22" t="str">
        <f t="shared" si="2"/>
        <v>Fail</v>
      </c>
      <c r="X11" s="22" t="str">
        <f t="shared" si="3"/>
        <v>Fail</v>
      </c>
      <c r="Y11" s="22" t="str">
        <f t="shared" si="3"/>
        <v>Fail</v>
      </c>
      <c r="Z11" s="22" t="str">
        <f t="shared" si="3"/>
        <v>Fail</v>
      </c>
      <c r="AA11" s="22" t="str">
        <f t="shared" si="3"/>
        <v>Fail</v>
      </c>
      <c r="AB11" s="22" t="str">
        <f t="shared" si="3"/>
        <v>Fail</v>
      </c>
      <c r="AC11" s="22" t="str">
        <f t="shared" si="3"/>
        <v>Fail</v>
      </c>
      <c r="AD11" s="22" t="str">
        <f t="shared" si="3"/>
        <v>Fail</v>
      </c>
      <c r="AE11" s="22" t="str">
        <f t="shared" si="3"/>
        <v>Fail</v>
      </c>
      <c r="AF11" s="22" t="str">
        <f t="shared" si="3"/>
        <v>Fail</v>
      </c>
      <c r="AG11" s="22" t="str">
        <f t="shared" si="3"/>
        <v>Fail</v>
      </c>
      <c r="AH11" s="22" t="str">
        <f t="shared" si="3"/>
        <v>Fail</v>
      </c>
      <c r="AI11" s="22" t="str">
        <f t="shared" si="3"/>
        <v>Fail</v>
      </c>
      <c r="AJ11" s="22" t="str">
        <f t="shared" si="3"/>
        <v>Fail</v>
      </c>
      <c r="AK11" s="22" t="str">
        <f t="shared" si="3"/>
        <v>Fail</v>
      </c>
      <c r="AL11" s="22" t="str">
        <f t="shared" si="3"/>
        <v>Fail</v>
      </c>
      <c r="AM11" s="22" t="str">
        <f t="shared" si="3"/>
        <v>Fail</v>
      </c>
      <c r="AN11" s="22" t="str">
        <f t="shared" si="4"/>
        <v>Fail</v>
      </c>
      <c r="AO11" s="22" t="str">
        <f t="shared" si="4"/>
        <v>Fail</v>
      </c>
      <c r="AP11" s="22" t="str">
        <f t="shared" si="4"/>
        <v>Fail</v>
      </c>
      <c r="AQ11" s="22" t="str">
        <f t="shared" si="4"/>
        <v>Fail</v>
      </c>
      <c r="AR11" s="22" t="str">
        <f t="shared" si="4"/>
        <v>Fail</v>
      </c>
      <c r="AS11" s="22" t="str">
        <f t="shared" si="1"/>
        <v>Fail</v>
      </c>
      <c r="AT11" s="22" t="str">
        <f t="shared" si="1"/>
        <v>Fail</v>
      </c>
      <c r="AU11" s="22" t="str">
        <f t="shared" si="1"/>
        <v>Fail</v>
      </c>
      <c r="AV11" s="22" t="str">
        <f t="shared" si="1"/>
        <v>Fail</v>
      </c>
      <c r="AW11" s="22" t="str">
        <f t="shared" si="1"/>
        <v>Fail</v>
      </c>
      <c r="AX11" s="22" t="str">
        <f t="shared" si="1"/>
        <v>Fail</v>
      </c>
      <c r="AY11" s="22" t="str">
        <f t="shared" si="1"/>
        <v>Fail</v>
      </c>
      <c r="AZ11" s="22" t="str">
        <f t="shared" si="1"/>
        <v>Fail</v>
      </c>
      <c r="BA11" s="22" t="str">
        <f t="shared" si="1"/>
        <v>Fail</v>
      </c>
      <c r="BB11" s="22" t="str">
        <f t="shared" si="1"/>
        <v>Fail</v>
      </c>
      <c r="BC11" s="22" t="str">
        <f t="shared" si="1"/>
        <v>Fail</v>
      </c>
      <c r="BD11" s="22" t="str">
        <f t="shared" si="1"/>
        <v>Fail</v>
      </c>
    </row>
    <row r="12" spans="2:56" ht="15.75" customHeight="1">
      <c r="B12" s="11" t="s">
        <v>10</v>
      </c>
      <c r="C12" s="12">
        <v>400</v>
      </c>
      <c r="D12" s="13" t="s">
        <v>29</v>
      </c>
      <c r="F12" s="21"/>
      <c r="G12" s="13">
        <f t="shared" si="5"/>
        <v>6</v>
      </c>
      <c r="H12" s="22" t="str">
        <f t="shared" si="2"/>
        <v>Fail</v>
      </c>
      <c r="I12" s="22" t="str">
        <f t="shared" si="2"/>
        <v>Fail</v>
      </c>
      <c r="J12" s="22" t="str">
        <f t="shared" si="2"/>
        <v>Fail</v>
      </c>
      <c r="K12" s="22" t="str">
        <f t="shared" si="2"/>
        <v>Fail</v>
      </c>
      <c r="L12" s="22" t="str">
        <f t="shared" si="2"/>
        <v>Fail</v>
      </c>
      <c r="M12" s="22" t="str">
        <f t="shared" si="2"/>
        <v>Fail</v>
      </c>
      <c r="N12" s="22" t="str">
        <f t="shared" si="2"/>
        <v>Pass</v>
      </c>
      <c r="O12" s="26" t="str">
        <f t="shared" si="2"/>
        <v>Pass</v>
      </c>
      <c r="P12" s="27" t="str">
        <f t="shared" si="2"/>
        <v>Pass</v>
      </c>
      <c r="Q12" s="25" t="str">
        <f t="shared" si="2"/>
        <v>Pass</v>
      </c>
      <c r="R12" s="22" t="str">
        <f t="shared" si="2"/>
        <v>Pass</v>
      </c>
      <c r="S12" s="22" t="str">
        <f t="shared" si="2"/>
        <v>Pass</v>
      </c>
      <c r="T12" s="22" t="str">
        <f t="shared" si="2"/>
        <v>Pass</v>
      </c>
      <c r="U12" s="22" t="str">
        <f t="shared" si="2"/>
        <v>Pass</v>
      </c>
      <c r="V12" s="22" t="str">
        <f t="shared" si="2"/>
        <v>Pass</v>
      </c>
      <c r="W12" s="22" t="str">
        <f t="shared" si="2"/>
        <v>Pass</v>
      </c>
      <c r="X12" s="22" t="str">
        <f t="shared" si="3"/>
        <v>Pass</v>
      </c>
      <c r="Y12" s="22" t="str">
        <f t="shared" si="3"/>
        <v>Fail</v>
      </c>
      <c r="Z12" s="22" t="str">
        <f t="shared" si="3"/>
        <v>Fail</v>
      </c>
      <c r="AA12" s="22" t="str">
        <f t="shared" si="3"/>
        <v>Fail</v>
      </c>
      <c r="AB12" s="22" t="str">
        <f t="shared" si="3"/>
        <v>Fail</v>
      </c>
      <c r="AC12" s="22" t="str">
        <f t="shared" si="3"/>
        <v>Fail</v>
      </c>
      <c r="AD12" s="22" t="str">
        <f t="shared" si="3"/>
        <v>Fail</v>
      </c>
      <c r="AE12" s="22" t="str">
        <f t="shared" si="3"/>
        <v>Fail</v>
      </c>
      <c r="AF12" s="22" t="str">
        <f t="shared" si="3"/>
        <v>Fail</v>
      </c>
      <c r="AG12" s="22" t="str">
        <f t="shared" si="3"/>
        <v>Fail</v>
      </c>
      <c r="AH12" s="22" t="str">
        <f t="shared" si="3"/>
        <v>Fail</v>
      </c>
      <c r="AI12" s="22" t="str">
        <f t="shared" si="3"/>
        <v>Fail</v>
      </c>
      <c r="AJ12" s="22" t="str">
        <f t="shared" si="3"/>
        <v>Fail</v>
      </c>
      <c r="AK12" s="22" t="str">
        <f t="shared" si="3"/>
        <v>Fail</v>
      </c>
      <c r="AL12" s="22" t="str">
        <f t="shared" si="3"/>
        <v>Fail</v>
      </c>
      <c r="AM12" s="22" t="str">
        <f t="shared" si="3"/>
        <v>Fail</v>
      </c>
      <c r="AN12" s="22" t="str">
        <f t="shared" si="4"/>
        <v>Fail</v>
      </c>
      <c r="AO12" s="22" t="str">
        <f t="shared" si="4"/>
        <v>Fail</v>
      </c>
      <c r="AP12" s="22" t="str">
        <f t="shared" si="4"/>
        <v>Fail</v>
      </c>
      <c r="AQ12" s="22" t="str">
        <f t="shared" si="4"/>
        <v>Fail</v>
      </c>
      <c r="AR12" s="22" t="str">
        <f t="shared" si="4"/>
        <v>Fail</v>
      </c>
      <c r="AS12" s="22" t="str">
        <f t="shared" si="1"/>
        <v>Fail</v>
      </c>
      <c r="AT12" s="22" t="str">
        <f t="shared" si="1"/>
        <v>Fail</v>
      </c>
      <c r="AU12" s="22" t="str">
        <f t="shared" si="1"/>
        <v>Fail</v>
      </c>
      <c r="AV12" s="22" t="str">
        <f t="shared" si="1"/>
        <v>Fail</v>
      </c>
      <c r="AW12" s="22" t="str">
        <f t="shared" si="1"/>
        <v>Fail</v>
      </c>
      <c r="AX12" s="22" t="str">
        <f t="shared" si="1"/>
        <v>Fail</v>
      </c>
      <c r="AY12" s="22" t="str">
        <f t="shared" si="1"/>
        <v>Fail</v>
      </c>
      <c r="AZ12" s="22" t="str">
        <f t="shared" si="1"/>
        <v>Fail</v>
      </c>
      <c r="BA12" s="22" t="str">
        <f t="shared" si="1"/>
        <v>Fail</v>
      </c>
      <c r="BB12" s="22" t="str">
        <f t="shared" si="1"/>
        <v>Fail</v>
      </c>
      <c r="BC12" s="22" t="str">
        <f t="shared" si="1"/>
        <v>Fail</v>
      </c>
      <c r="BD12" s="22" t="str">
        <f t="shared" si="1"/>
        <v>Fail</v>
      </c>
    </row>
    <row r="13" spans="2:56" ht="15.75" customHeight="1">
      <c r="B13" s="11" t="s">
        <v>109</v>
      </c>
      <c r="C13" s="10">
        <f>VLOOKUP(C10,'Diameter data'!B11:C53,2,FALSE)/25.4</f>
        <v>4.5</v>
      </c>
      <c r="D13" s="13" t="s">
        <v>11</v>
      </c>
      <c r="F13" s="21"/>
      <c r="G13" s="13">
        <f t="shared" si="5"/>
        <v>6.5</v>
      </c>
      <c r="H13" s="22" t="str">
        <f t="shared" si="2"/>
        <v>Fail</v>
      </c>
      <c r="I13" s="22" t="str">
        <f t="shared" si="2"/>
        <v>Fail</v>
      </c>
      <c r="J13" s="22" t="str">
        <f t="shared" si="2"/>
        <v>Fail</v>
      </c>
      <c r="K13" s="22" t="str">
        <f t="shared" si="2"/>
        <v>Fail</v>
      </c>
      <c r="L13" s="22" t="str">
        <f t="shared" si="2"/>
        <v>Fail</v>
      </c>
      <c r="M13" s="22" t="str">
        <f t="shared" si="2"/>
        <v>Fail</v>
      </c>
      <c r="N13" s="22" t="str">
        <f t="shared" si="2"/>
        <v>Pass</v>
      </c>
      <c r="O13" s="22" t="str">
        <f t="shared" si="2"/>
        <v>Pass</v>
      </c>
      <c r="P13" s="26" t="str">
        <f t="shared" si="2"/>
        <v>Pass</v>
      </c>
      <c r="Q13" s="27" t="str">
        <f t="shared" si="2"/>
        <v>Pass</v>
      </c>
      <c r="R13" s="25" t="str">
        <f t="shared" si="2"/>
        <v>Pass</v>
      </c>
      <c r="S13" s="22" t="str">
        <f t="shared" si="2"/>
        <v>Pass</v>
      </c>
      <c r="T13" s="22" t="str">
        <f t="shared" si="2"/>
        <v>Pass</v>
      </c>
      <c r="U13" s="22" t="str">
        <f t="shared" si="2"/>
        <v>Pass</v>
      </c>
      <c r="V13" s="22" t="str">
        <f t="shared" si="2"/>
        <v>Pass</v>
      </c>
      <c r="W13" s="22" t="str">
        <f t="shared" si="2"/>
        <v>Pass</v>
      </c>
      <c r="X13" s="22" t="str">
        <f t="shared" si="3"/>
        <v>Pass</v>
      </c>
      <c r="Y13" s="22" t="str">
        <f t="shared" si="3"/>
        <v>Pass</v>
      </c>
      <c r="Z13" s="22" t="str">
        <f t="shared" si="3"/>
        <v>Pass</v>
      </c>
      <c r="AA13" s="22" t="str">
        <f t="shared" si="3"/>
        <v>Pass</v>
      </c>
      <c r="AB13" s="22" t="str">
        <f t="shared" si="3"/>
        <v>Pass</v>
      </c>
      <c r="AC13" s="22" t="str">
        <f t="shared" si="3"/>
        <v>Fail</v>
      </c>
      <c r="AD13" s="22" t="str">
        <f t="shared" si="3"/>
        <v>Fail</v>
      </c>
      <c r="AE13" s="22" t="str">
        <f t="shared" si="3"/>
        <v>Fail</v>
      </c>
      <c r="AF13" s="22" t="str">
        <f t="shared" si="3"/>
        <v>Fail</v>
      </c>
      <c r="AG13" s="22" t="str">
        <f t="shared" si="3"/>
        <v>Fail</v>
      </c>
      <c r="AH13" s="22" t="str">
        <f t="shared" si="3"/>
        <v>Fail</v>
      </c>
      <c r="AI13" s="22" t="str">
        <f t="shared" si="3"/>
        <v>Fail</v>
      </c>
      <c r="AJ13" s="22" t="str">
        <f t="shared" si="3"/>
        <v>Fail</v>
      </c>
      <c r="AK13" s="22" t="str">
        <f t="shared" si="3"/>
        <v>Fail</v>
      </c>
      <c r="AL13" s="22" t="str">
        <f t="shared" si="3"/>
        <v>Fail</v>
      </c>
      <c r="AM13" s="22" t="str">
        <f t="shared" si="3"/>
        <v>Fail</v>
      </c>
      <c r="AN13" s="22" t="str">
        <f t="shared" si="4"/>
        <v>Fail</v>
      </c>
      <c r="AO13" s="22" t="str">
        <f t="shared" si="4"/>
        <v>Fail</v>
      </c>
      <c r="AP13" s="22" t="str">
        <f t="shared" si="4"/>
        <v>Fail</v>
      </c>
      <c r="AQ13" s="22" t="str">
        <f t="shared" si="4"/>
        <v>Fail</v>
      </c>
      <c r="AR13" s="22" t="str">
        <f t="shared" si="4"/>
        <v>Fail</v>
      </c>
      <c r="AS13" s="22" t="str">
        <f t="shared" si="1"/>
        <v>Fail</v>
      </c>
      <c r="AT13" s="22" t="str">
        <f t="shared" si="1"/>
        <v>Fail</v>
      </c>
      <c r="AU13" s="22" t="str">
        <f t="shared" si="1"/>
        <v>Fail</v>
      </c>
      <c r="AV13" s="22" t="str">
        <f t="shared" si="1"/>
        <v>Fail</v>
      </c>
      <c r="AW13" s="22" t="str">
        <f t="shared" si="1"/>
        <v>Fail</v>
      </c>
      <c r="AX13" s="22" t="str">
        <f t="shared" si="1"/>
        <v>Fail</v>
      </c>
      <c r="AY13" s="22" t="str">
        <f t="shared" si="1"/>
        <v>Fail</v>
      </c>
      <c r="AZ13" s="22" t="str">
        <f t="shared" si="1"/>
        <v>Fail</v>
      </c>
      <c r="BA13" s="22" t="str">
        <f t="shared" si="1"/>
        <v>Fail</v>
      </c>
      <c r="BB13" s="22" t="str">
        <f t="shared" si="1"/>
        <v>Fail</v>
      </c>
      <c r="BC13" s="22" t="str">
        <f t="shared" si="1"/>
        <v>Fail</v>
      </c>
      <c r="BD13" s="22" t="str">
        <f t="shared" si="1"/>
        <v>Fail</v>
      </c>
    </row>
    <row r="14" spans="2:56" ht="15.75" customHeight="1">
      <c r="B14" s="11" t="s">
        <v>18</v>
      </c>
      <c r="C14" s="14">
        <v>29500000</v>
      </c>
      <c r="D14" s="13" t="s">
        <v>19</v>
      </c>
      <c r="F14" s="21"/>
      <c r="G14" s="13">
        <f t="shared" si="5"/>
        <v>7</v>
      </c>
      <c r="H14" s="22" t="str">
        <f t="shared" si="2"/>
        <v>Fail</v>
      </c>
      <c r="I14" s="22" t="str">
        <f t="shared" si="2"/>
        <v>Fail</v>
      </c>
      <c r="J14" s="22" t="str">
        <f t="shared" si="2"/>
        <v>Fail</v>
      </c>
      <c r="K14" s="22" t="str">
        <f t="shared" si="2"/>
        <v>Fail</v>
      </c>
      <c r="L14" s="22" t="str">
        <f t="shared" si="2"/>
        <v>Fail</v>
      </c>
      <c r="M14" s="22" t="str">
        <f t="shared" si="2"/>
        <v>Fail</v>
      </c>
      <c r="N14" s="22" t="str">
        <f t="shared" si="2"/>
        <v>Pass</v>
      </c>
      <c r="O14" s="22" t="str">
        <f t="shared" si="2"/>
        <v>Pass</v>
      </c>
      <c r="P14" s="22" t="str">
        <f t="shared" si="2"/>
        <v>Pass</v>
      </c>
      <c r="Q14" s="26" t="str">
        <f t="shared" si="2"/>
        <v>Pass</v>
      </c>
      <c r="R14" s="27" t="str">
        <f t="shared" si="2"/>
        <v>Pass</v>
      </c>
      <c r="S14" s="25" t="str">
        <f t="shared" si="2"/>
        <v>Pass</v>
      </c>
      <c r="T14" s="22" t="str">
        <f t="shared" si="2"/>
        <v>Pass</v>
      </c>
      <c r="U14" s="22" t="str">
        <f t="shared" si="2"/>
        <v>Pass</v>
      </c>
      <c r="V14" s="22" t="str">
        <f t="shared" si="2"/>
        <v>Pass</v>
      </c>
      <c r="W14" s="22" t="str">
        <f t="shared" si="2"/>
        <v>Pass</v>
      </c>
      <c r="X14" s="22" t="str">
        <f t="shared" si="3"/>
        <v>Pass</v>
      </c>
      <c r="Y14" s="22" t="str">
        <f t="shared" si="3"/>
        <v>Pass</v>
      </c>
      <c r="Z14" s="22" t="str">
        <f t="shared" si="3"/>
        <v>Pass</v>
      </c>
      <c r="AA14" s="22" t="str">
        <f t="shared" si="3"/>
        <v>Pass</v>
      </c>
      <c r="AB14" s="22" t="str">
        <f t="shared" si="3"/>
        <v>Pass</v>
      </c>
      <c r="AC14" s="22" t="str">
        <f t="shared" si="3"/>
        <v>Pass</v>
      </c>
      <c r="AD14" s="22" t="str">
        <f t="shared" si="3"/>
        <v>Fail</v>
      </c>
      <c r="AE14" s="22" t="str">
        <f t="shared" si="3"/>
        <v>Fail</v>
      </c>
      <c r="AF14" s="22" t="str">
        <f t="shared" si="3"/>
        <v>Fail</v>
      </c>
      <c r="AG14" s="22" t="str">
        <f t="shared" si="3"/>
        <v>Fail</v>
      </c>
      <c r="AH14" s="22" t="str">
        <f t="shared" si="3"/>
        <v>Fail</v>
      </c>
      <c r="AI14" s="22" t="str">
        <f t="shared" si="3"/>
        <v>Fail</v>
      </c>
      <c r="AJ14" s="22" t="str">
        <f t="shared" si="3"/>
        <v>Fail</v>
      </c>
      <c r="AK14" s="22" t="str">
        <f t="shared" si="3"/>
        <v>Fail</v>
      </c>
      <c r="AL14" s="22" t="str">
        <f t="shared" si="3"/>
        <v>Fail</v>
      </c>
      <c r="AM14" s="22" t="str">
        <f t="shared" si="3"/>
        <v>Fail</v>
      </c>
      <c r="AN14" s="22" t="str">
        <f t="shared" si="4"/>
        <v>Fail</v>
      </c>
      <c r="AO14" s="22" t="str">
        <f t="shared" si="4"/>
        <v>Fail</v>
      </c>
      <c r="AP14" s="22" t="str">
        <f t="shared" si="4"/>
        <v>Fail</v>
      </c>
      <c r="AQ14" s="22" t="str">
        <f t="shared" si="4"/>
        <v>Fail</v>
      </c>
      <c r="AR14" s="22" t="str">
        <f t="shared" si="4"/>
        <v>Fail</v>
      </c>
      <c r="AS14" s="22" t="str">
        <f t="shared" si="1"/>
        <v>Fail</v>
      </c>
      <c r="AT14" s="22" t="str">
        <f t="shared" si="1"/>
        <v>Fail</v>
      </c>
      <c r="AU14" s="22" t="str">
        <f t="shared" si="1"/>
        <v>Fail</v>
      </c>
      <c r="AV14" s="22" t="str">
        <f t="shared" si="1"/>
        <v>Fail</v>
      </c>
      <c r="AW14" s="22" t="str">
        <f t="shared" si="1"/>
        <v>Fail</v>
      </c>
      <c r="AX14" s="22" t="str">
        <f t="shared" si="1"/>
        <v>Fail</v>
      </c>
      <c r="AY14" s="22" t="str">
        <f t="shared" si="1"/>
        <v>Fail</v>
      </c>
      <c r="AZ14" s="22" t="str">
        <f t="shared" si="1"/>
        <v>Fail</v>
      </c>
      <c r="BA14" s="22" t="str">
        <f t="shared" si="1"/>
        <v>Fail</v>
      </c>
      <c r="BB14" s="22" t="str">
        <f t="shared" si="1"/>
        <v>Fail</v>
      </c>
      <c r="BC14" s="22" t="str">
        <f t="shared" si="1"/>
        <v>Fail</v>
      </c>
      <c r="BD14" s="22" t="str">
        <f t="shared" si="1"/>
        <v>Fail</v>
      </c>
    </row>
    <row r="15" spans="2:56" ht="15.75" customHeight="1">
      <c r="B15" s="11" t="s">
        <v>20</v>
      </c>
      <c r="C15" s="14">
        <v>30000</v>
      </c>
      <c r="D15" s="13" t="s">
        <v>19</v>
      </c>
      <c r="F15" s="21"/>
      <c r="G15" s="13">
        <f t="shared" si="5"/>
        <v>7.5</v>
      </c>
      <c r="H15" s="22" t="str">
        <f t="shared" si="2"/>
        <v>Fail</v>
      </c>
      <c r="I15" s="22" t="str">
        <f t="shared" si="2"/>
        <v>Fail</v>
      </c>
      <c r="J15" s="22" t="str">
        <f t="shared" si="2"/>
        <v>Fail</v>
      </c>
      <c r="K15" s="22" t="str">
        <f t="shared" si="2"/>
        <v>Fail</v>
      </c>
      <c r="L15" s="22" t="str">
        <f t="shared" si="2"/>
        <v>Fail</v>
      </c>
      <c r="M15" s="22" t="str">
        <f t="shared" si="2"/>
        <v>Fail</v>
      </c>
      <c r="N15" s="22" t="str">
        <f t="shared" si="2"/>
        <v>Fail</v>
      </c>
      <c r="O15" s="22" t="str">
        <f t="shared" si="2"/>
        <v>Pass</v>
      </c>
      <c r="P15" s="22" t="str">
        <f t="shared" si="2"/>
        <v>Pass</v>
      </c>
      <c r="Q15" s="22" t="str">
        <f t="shared" si="2"/>
        <v>Pass</v>
      </c>
      <c r="R15" s="26" t="str">
        <f t="shared" si="2"/>
        <v>Pass</v>
      </c>
      <c r="S15" s="27" t="str">
        <f t="shared" si="2"/>
        <v>Pass</v>
      </c>
      <c r="T15" s="25" t="str">
        <f t="shared" si="2"/>
        <v>Pass</v>
      </c>
      <c r="U15" s="22" t="str">
        <f t="shared" si="2"/>
        <v>Pass</v>
      </c>
      <c r="V15" s="22" t="str">
        <f t="shared" si="2"/>
        <v>Pass</v>
      </c>
      <c r="W15" s="22" t="str">
        <f t="shared" si="2"/>
        <v>Pass</v>
      </c>
      <c r="X15" s="22" t="str">
        <f t="shared" si="3"/>
        <v>Pass</v>
      </c>
      <c r="Y15" s="22" t="str">
        <f t="shared" si="3"/>
        <v>Pass</v>
      </c>
      <c r="Z15" s="22" t="str">
        <f t="shared" si="3"/>
        <v>Pass</v>
      </c>
      <c r="AA15" s="22" t="str">
        <f t="shared" si="3"/>
        <v>Pass</v>
      </c>
      <c r="AB15" s="22" t="str">
        <f t="shared" si="3"/>
        <v>Pass</v>
      </c>
      <c r="AC15" s="22" t="str">
        <f t="shared" si="3"/>
        <v>Pass</v>
      </c>
      <c r="AD15" s="22" t="str">
        <f t="shared" si="3"/>
        <v>Pass</v>
      </c>
      <c r="AE15" s="22" t="str">
        <f t="shared" si="3"/>
        <v>Pass</v>
      </c>
      <c r="AF15" s="22" t="str">
        <f t="shared" si="3"/>
        <v>Pass</v>
      </c>
      <c r="AG15" s="22" t="str">
        <f t="shared" si="3"/>
        <v>Fail</v>
      </c>
      <c r="AH15" s="22" t="str">
        <f t="shared" si="3"/>
        <v>Fail</v>
      </c>
      <c r="AI15" s="22" t="str">
        <f t="shared" si="3"/>
        <v>Fail</v>
      </c>
      <c r="AJ15" s="22" t="str">
        <f t="shared" si="3"/>
        <v>Fail</v>
      </c>
      <c r="AK15" s="22" t="str">
        <f t="shared" si="3"/>
        <v>Fail</v>
      </c>
      <c r="AL15" s="22" t="str">
        <f t="shared" si="3"/>
        <v>Fail</v>
      </c>
      <c r="AM15" s="22" t="str">
        <f t="shared" si="3"/>
        <v>Fail</v>
      </c>
      <c r="AN15" s="22" t="str">
        <f t="shared" si="4"/>
        <v>Fail</v>
      </c>
      <c r="AO15" s="22" t="str">
        <f t="shared" si="4"/>
        <v>Fail</v>
      </c>
      <c r="AP15" s="22" t="str">
        <f t="shared" si="4"/>
        <v>Fail</v>
      </c>
      <c r="AQ15" s="22" t="str">
        <f t="shared" si="4"/>
        <v>Fail</v>
      </c>
      <c r="AR15" s="22" t="str">
        <f t="shared" si="4"/>
        <v>Fail</v>
      </c>
      <c r="AS15" s="22" t="str">
        <f t="shared" si="1"/>
        <v>Fail</v>
      </c>
      <c r="AT15" s="22" t="str">
        <f t="shared" si="1"/>
        <v>Fail</v>
      </c>
      <c r="AU15" s="22" t="str">
        <f t="shared" si="1"/>
        <v>Fail</v>
      </c>
      <c r="AV15" s="22" t="str">
        <f t="shared" si="1"/>
        <v>Fail</v>
      </c>
      <c r="AW15" s="22" t="str">
        <f t="shared" si="1"/>
        <v>Fail</v>
      </c>
      <c r="AX15" s="22" t="str">
        <f t="shared" si="1"/>
        <v>Fail</v>
      </c>
      <c r="AY15" s="22" t="str">
        <f t="shared" si="1"/>
        <v>Fail</v>
      </c>
      <c r="AZ15" s="22" t="str">
        <f t="shared" si="1"/>
        <v>Fail</v>
      </c>
      <c r="BA15" s="22" t="str">
        <f t="shared" si="1"/>
        <v>Fail</v>
      </c>
      <c r="BB15" s="22" t="str">
        <f t="shared" si="1"/>
        <v>Fail</v>
      </c>
      <c r="BC15" s="22" t="str">
        <f t="shared" si="1"/>
        <v>Fail</v>
      </c>
      <c r="BD15" s="22" t="str">
        <f t="shared" si="1"/>
        <v>Fail</v>
      </c>
    </row>
    <row r="16" spans="2:56" ht="15.75" customHeight="1">
      <c r="B16" s="11" t="s">
        <v>25</v>
      </c>
      <c r="C16" s="14">
        <f>'Diameter data'!J3/100</f>
        <v>3.7999999999999999E-2</v>
      </c>
      <c r="D16" s="13" t="s">
        <v>13</v>
      </c>
      <c r="F16" s="21"/>
      <c r="G16" s="13">
        <f>G15+0.5</f>
        <v>8</v>
      </c>
      <c r="H16" s="22" t="str">
        <f t="shared" si="2"/>
        <v>Fail</v>
      </c>
      <c r="I16" s="22" t="str">
        <f t="shared" si="2"/>
        <v>Fail</v>
      </c>
      <c r="J16" s="22" t="str">
        <f t="shared" si="2"/>
        <v>Fail</v>
      </c>
      <c r="K16" s="22" t="str">
        <f t="shared" si="2"/>
        <v>Fail</v>
      </c>
      <c r="L16" s="22" t="str">
        <f t="shared" si="2"/>
        <v>Fail</v>
      </c>
      <c r="M16" s="22" t="str">
        <f t="shared" si="2"/>
        <v>Fail</v>
      </c>
      <c r="N16" s="22" t="str">
        <f t="shared" si="2"/>
        <v>Fail</v>
      </c>
      <c r="O16" s="22" t="str">
        <f t="shared" si="2"/>
        <v>Pass</v>
      </c>
      <c r="P16" s="22" t="str">
        <f t="shared" si="2"/>
        <v>Pass</v>
      </c>
      <c r="Q16" s="22" t="str">
        <f t="shared" si="2"/>
        <v>Pass</v>
      </c>
      <c r="R16" s="22" t="str">
        <f t="shared" si="2"/>
        <v>Pass</v>
      </c>
      <c r="S16" s="26" t="str">
        <f t="shared" si="2"/>
        <v>Pass</v>
      </c>
      <c r="T16" s="27" t="str">
        <f t="shared" si="2"/>
        <v>Pass</v>
      </c>
      <c r="U16" s="25" t="str">
        <f t="shared" si="2"/>
        <v>Pass</v>
      </c>
      <c r="V16" s="22" t="str">
        <f t="shared" si="2"/>
        <v>Pass</v>
      </c>
      <c r="W16" s="22" t="str">
        <f t="shared" si="2"/>
        <v>Pass</v>
      </c>
      <c r="X16" s="22" t="str">
        <f t="shared" si="3"/>
        <v>Pass</v>
      </c>
      <c r="Y16" s="22" t="str">
        <f t="shared" si="3"/>
        <v>Pass</v>
      </c>
      <c r="Z16" s="22" t="str">
        <f t="shared" si="3"/>
        <v>Pass</v>
      </c>
      <c r="AA16" s="22" t="str">
        <f t="shared" si="3"/>
        <v>Pass</v>
      </c>
      <c r="AB16" s="22" t="str">
        <f t="shared" si="3"/>
        <v>Pass</v>
      </c>
      <c r="AC16" s="22" t="str">
        <f t="shared" si="3"/>
        <v>Pass</v>
      </c>
      <c r="AD16" s="22" t="str">
        <f t="shared" si="3"/>
        <v>Pass</v>
      </c>
      <c r="AE16" s="22" t="str">
        <f t="shared" si="3"/>
        <v>Pass</v>
      </c>
      <c r="AF16" s="22" t="str">
        <f t="shared" si="3"/>
        <v>Pass</v>
      </c>
      <c r="AG16" s="22" t="str">
        <f t="shared" si="3"/>
        <v>Pass</v>
      </c>
      <c r="AH16" s="22" t="str">
        <f t="shared" si="3"/>
        <v>Pass</v>
      </c>
      <c r="AI16" s="22" t="str">
        <f t="shared" si="3"/>
        <v>Fail</v>
      </c>
      <c r="AJ16" s="22" t="str">
        <f t="shared" si="3"/>
        <v>Fail</v>
      </c>
      <c r="AK16" s="22" t="str">
        <f t="shared" si="3"/>
        <v>Fail</v>
      </c>
      <c r="AL16" s="22" t="str">
        <f t="shared" si="3"/>
        <v>Fail</v>
      </c>
      <c r="AM16" s="22" t="str">
        <f t="shared" si="3"/>
        <v>Fail</v>
      </c>
      <c r="AN16" s="22" t="str">
        <f t="shared" si="4"/>
        <v>Fail</v>
      </c>
      <c r="AO16" s="22" t="str">
        <f t="shared" si="4"/>
        <v>Fail</v>
      </c>
      <c r="AP16" s="22" t="str">
        <f t="shared" si="4"/>
        <v>Fail</v>
      </c>
      <c r="AQ16" s="22" t="str">
        <f t="shared" si="4"/>
        <v>Fail</v>
      </c>
      <c r="AR16" s="22" t="str">
        <f t="shared" si="4"/>
        <v>Fail</v>
      </c>
      <c r="AS16" s="22" t="str">
        <f t="shared" si="1"/>
        <v>Fail</v>
      </c>
      <c r="AT16" s="22" t="str">
        <f t="shared" si="1"/>
        <v>Fail</v>
      </c>
      <c r="AU16" s="22" t="str">
        <f t="shared" si="1"/>
        <v>Fail</v>
      </c>
      <c r="AV16" s="22" t="str">
        <f t="shared" si="1"/>
        <v>Fail</v>
      </c>
      <c r="AW16" s="22" t="str">
        <f t="shared" si="1"/>
        <v>Fail</v>
      </c>
      <c r="AX16" s="22" t="str">
        <f t="shared" si="1"/>
        <v>Fail</v>
      </c>
      <c r="AY16" s="22" t="str">
        <f t="shared" si="1"/>
        <v>Fail</v>
      </c>
      <c r="AZ16" s="22" t="str">
        <f t="shared" si="1"/>
        <v>Fail</v>
      </c>
      <c r="BA16" s="22" t="str">
        <f t="shared" si="1"/>
        <v>Fail</v>
      </c>
      <c r="BB16" s="22" t="str">
        <f t="shared" si="1"/>
        <v>Fail</v>
      </c>
      <c r="BC16" s="22" t="str">
        <f t="shared" si="1"/>
        <v>Fail</v>
      </c>
      <c r="BD16" s="22" t="str">
        <f t="shared" si="1"/>
        <v>Fail</v>
      </c>
    </row>
    <row r="17" spans="2:56" ht="15.75" customHeight="1">
      <c r="F17" s="21"/>
      <c r="G17" s="13">
        <f t="shared" si="5"/>
        <v>8.5</v>
      </c>
      <c r="H17" s="22" t="str">
        <f t="shared" si="2"/>
        <v>Fail</v>
      </c>
      <c r="I17" s="22" t="str">
        <f t="shared" si="2"/>
        <v>Fail</v>
      </c>
      <c r="J17" s="22" t="str">
        <f t="shared" si="2"/>
        <v>Fail</v>
      </c>
      <c r="K17" s="22" t="str">
        <f t="shared" si="2"/>
        <v>Fail</v>
      </c>
      <c r="L17" s="22" t="str">
        <f t="shared" si="2"/>
        <v>Fail</v>
      </c>
      <c r="M17" s="22" t="str">
        <f t="shared" si="2"/>
        <v>Fail</v>
      </c>
      <c r="N17" s="22" t="str">
        <f t="shared" si="2"/>
        <v>Fail</v>
      </c>
      <c r="O17" s="22" t="str">
        <f t="shared" si="2"/>
        <v>Pass</v>
      </c>
      <c r="P17" s="22" t="str">
        <f t="shared" si="2"/>
        <v>Pass</v>
      </c>
      <c r="Q17" s="22" t="str">
        <f t="shared" si="2"/>
        <v>Pass</v>
      </c>
      <c r="R17" s="22" t="str">
        <f t="shared" si="2"/>
        <v>Pass</v>
      </c>
      <c r="S17" s="22" t="str">
        <f t="shared" si="2"/>
        <v>Pass</v>
      </c>
      <c r="T17" s="26" t="str">
        <f t="shared" si="2"/>
        <v>Pass</v>
      </c>
      <c r="U17" s="27" t="str">
        <f t="shared" si="2"/>
        <v>Pass</v>
      </c>
      <c r="V17" s="25" t="str">
        <f t="shared" si="2"/>
        <v>Pass</v>
      </c>
      <c r="W17" s="22" t="str">
        <f t="shared" si="2"/>
        <v>Pass</v>
      </c>
      <c r="X17" s="22" t="str">
        <f t="shared" si="3"/>
        <v>Pass</v>
      </c>
      <c r="Y17" s="22" t="str">
        <f t="shared" si="3"/>
        <v>Pass</v>
      </c>
      <c r="Z17" s="22" t="str">
        <f t="shared" si="3"/>
        <v>Pass</v>
      </c>
      <c r="AA17" s="22" t="str">
        <f t="shared" si="3"/>
        <v>Pass</v>
      </c>
      <c r="AB17" s="22" t="str">
        <f t="shared" si="3"/>
        <v>Pass</v>
      </c>
      <c r="AC17" s="22" t="str">
        <f t="shared" si="3"/>
        <v>Pass</v>
      </c>
      <c r="AD17" s="22" t="str">
        <f t="shared" si="3"/>
        <v>Pass</v>
      </c>
      <c r="AE17" s="22" t="str">
        <f t="shared" si="3"/>
        <v>Pass</v>
      </c>
      <c r="AF17" s="22" t="str">
        <f t="shared" si="3"/>
        <v>Pass</v>
      </c>
      <c r="AG17" s="22" t="str">
        <f t="shared" si="3"/>
        <v>Pass</v>
      </c>
      <c r="AH17" s="22" t="str">
        <f t="shared" si="3"/>
        <v>Pass</v>
      </c>
      <c r="AI17" s="22" t="str">
        <f t="shared" si="3"/>
        <v>Pass</v>
      </c>
      <c r="AJ17" s="22" t="str">
        <f t="shared" si="3"/>
        <v>Pass</v>
      </c>
      <c r="AK17" s="22" t="str">
        <f t="shared" si="3"/>
        <v>Fail</v>
      </c>
      <c r="AL17" s="22" t="str">
        <f t="shared" si="3"/>
        <v>Fail</v>
      </c>
      <c r="AM17" s="22" t="str">
        <f t="shared" si="3"/>
        <v>Fail</v>
      </c>
      <c r="AN17" s="22" t="str">
        <f t="shared" si="4"/>
        <v>Fail</v>
      </c>
      <c r="AO17" s="22" t="str">
        <f t="shared" si="4"/>
        <v>Fail</v>
      </c>
      <c r="AP17" s="22" t="str">
        <f t="shared" si="4"/>
        <v>Fail</v>
      </c>
      <c r="AQ17" s="22" t="str">
        <f t="shared" si="4"/>
        <v>Fail</v>
      </c>
      <c r="AR17" s="22" t="str">
        <f t="shared" si="4"/>
        <v>Fail</v>
      </c>
      <c r="AS17" s="22" t="str">
        <f t="shared" si="1"/>
        <v>Fail</v>
      </c>
      <c r="AT17" s="22" t="str">
        <f t="shared" si="1"/>
        <v>Fail</v>
      </c>
      <c r="AU17" s="22" t="str">
        <f t="shared" si="1"/>
        <v>Fail</v>
      </c>
      <c r="AV17" s="22" t="str">
        <f t="shared" si="1"/>
        <v>Fail</v>
      </c>
      <c r="AW17" s="22" t="str">
        <f t="shared" si="1"/>
        <v>Fail</v>
      </c>
      <c r="AX17" s="22" t="str">
        <f t="shared" si="1"/>
        <v>Fail</v>
      </c>
      <c r="AY17" s="22" t="str">
        <f t="shared" si="1"/>
        <v>Fail</v>
      </c>
      <c r="AZ17" s="22" t="str">
        <f t="shared" si="1"/>
        <v>Fail</v>
      </c>
      <c r="BA17" s="22" t="str">
        <f t="shared" si="1"/>
        <v>Fail</v>
      </c>
      <c r="BB17" s="22" t="str">
        <f t="shared" si="1"/>
        <v>Fail</v>
      </c>
      <c r="BC17" s="22" t="str">
        <f t="shared" si="1"/>
        <v>Fail</v>
      </c>
      <c r="BD17" s="22" t="str">
        <f t="shared" si="1"/>
        <v>Fail</v>
      </c>
    </row>
    <row r="18" spans="2:56" ht="15.75" customHeight="1">
      <c r="F18" s="21"/>
      <c r="G18" s="13">
        <f t="shared" si="5"/>
        <v>9</v>
      </c>
      <c r="H18" s="22" t="str">
        <f t="shared" si="2"/>
        <v>Fail</v>
      </c>
      <c r="I18" s="22" t="str">
        <f t="shared" si="2"/>
        <v>Fail</v>
      </c>
      <c r="J18" s="22" t="str">
        <f t="shared" si="2"/>
        <v>Fail</v>
      </c>
      <c r="K18" s="22" t="str">
        <f t="shared" si="2"/>
        <v>Fail</v>
      </c>
      <c r="L18" s="22" t="str">
        <f t="shared" si="2"/>
        <v>Fail</v>
      </c>
      <c r="M18" s="22" t="str">
        <f t="shared" si="2"/>
        <v>Fail</v>
      </c>
      <c r="N18" s="22" t="str">
        <f t="shared" si="2"/>
        <v>Fail</v>
      </c>
      <c r="O18" s="22" t="str">
        <f t="shared" si="2"/>
        <v>Fail</v>
      </c>
      <c r="P18" s="22" t="str">
        <f t="shared" si="2"/>
        <v>Pass</v>
      </c>
      <c r="Q18" s="22" t="str">
        <f t="shared" si="2"/>
        <v>Pass</v>
      </c>
      <c r="R18" s="22" t="str">
        <f t="shared" si="2"/>
        <v>Pass</v>
      </c>
      <c r="S18" s="22" t="str">
        <f t="shared" si="2"/>
        <v>Pass</v>
      </c>
      <c r="T18" s="22" t="str">
        <f t="shared" si="2"/>
        <v>Pass</v>
      </c>
      <c r="U18" s="26" t="str">
        <f t="shared" si="2"/>
        <v>Pass</v>
      </c>
      <c r="V18" s="27" t="str">
        <f t="shared" si="2"/>
        <v>Pass</v>
      </c>
      <c r="W18" s="25" t="str">
        <f t="shared" si="2"/>
        <v>Pass</v>
      </c>
      <c r="X18" s="22" t="str">
        <f t="shared" si="3"/>
        <v>Pass</v>
      </c>
      <c r="Y18" s="22" t="str">
        <f t="shared" si="3"/>
        <v>Pass</v>
      </c>
      <c r="Z18" s="22" t="str">
        <f t="shared" si="3"/>
        <v>Pass</v>
      </c>
      <c r="AA18" s="22" t="str">
        <f t="shared" si="3"/>
        <v>Pass</v>
      </c>
      <c r="AB18" s="22" t="str">
        <f t="shared" si="3"/>
        <v>Pass</v>
      </c>
      <c r="AC18" s="22" t="str">
        <f t="shared" si="3"/>
        <v>Pass</v>
      </c>
      <c r="AD18" s="22" t="str">
        <f t="shared" si="3"/>
        <v>Pass</v>
      </c>
      <c r="AE18" s="22" t="str">
        <f t="shared" si="3"/>
        <v>Pass</v>
      </c>
      <c r="AF18" s="22" t="str">
        <f t="shared" si="3"/>
        <v>Pass</v>
      </c>
      <c r="AG18" s="22" t="str">
        <f t="shared" si="3"/>
        <v>Pass</v>
      </c>
      <c r="AH18" s="22" t="str">
        <f t="shared" si="3"/>
        <v>Pass</v>
      </c>
      <c r="AI18" s="22" t="str">
        <f t="shared" si="3"/>
        <v>Pass</v>
      </c>
      <c r="AJ18" s="22" t="str">
        <f t="shared" si="3"/>
        <v>Pass</v>
      </c>
      <c r="AK18" s="22" t="str">
        <f t="shared" si="3"/>
        <v>Pass</v>
      </c>
      <c r="AL18" s="22" t="str">
        <f t="shared" si="3"/>
        <v>Pass</v>
      </c>
      <c r="AM18" s="22" t="str">
        <f t="shared" si="3"/>
        <v>Pass</v>
      </c>
      <c r="AN18" s="22" t="str">
        <f t="shared" si="4"/>
        <v>Fail</v>
      </c>
      <c r="AO18" s="22" t="str">
        <f t="shared" si="4"/>
        <v>Fail</v>
      </c>
      <c r="AP18" s="22" t="str">
        <f t="shared" si="4"/>
        <v>Fail</v>
      </c>
      <c r="AQ18" s="22" t="str">
        <f t="shared" si="4"/>
        <v>Fail</v>
      </c>
      <c r="AR18" s="22" t="str">
        <f t="shared" si="4"/>
        <v>Fail</v>
      </c>
      <c r="AS18" s="22" t="str">
        <f t="shared" si="1"/>
        <v>Fail</v>
      </c>
      <c r="AT18" s="22" t="str">
        <f t="shared" si="1"/>
        <v>Fail</v>
      </c>
      <c r="AU18" s="22" t="str">
        <f t="shared" si="1"/>
        <v>Fail</v>
      </c>
      <c r="AV18" s="22" t="str">
        <f t="shared" si="1"/>
        <v>Fail</v>
      </c>
      <c r="AW18" s="22" t="str">
        <f t="shared" si="1"/>
        <v>Fail</v>
      </c>
      <c r="AX18" s="22" t="str">
        <f t="shared" si="1"/>
        <v>Fail</v>
      </c>
      <c r="AY18" s="22" t="str">
        <f t="shared" si="1"/>
        <v>Fail</v>
      </c>
      <c r="AZ18" s="22" t="str">
        <f t="shared" si="1"/>
        <v>Fail</v>
      </c>
      <c r="BA18" s="22" t="str">
        <f t="shared" si="1"/>
        <v>Fail</v>
      </c>
      <c r="BB18" s="22" t="str">
        <f t="shared" si="1"/>
        <v>Fail</v>
      </c>
      <c r="BC18" s="22" t="str">
        <f t="shared" si="1"/>
        <v>Fail</v>
      </c>
      <c r="BD18" s="22" t="str">
        <f t="shared" si="1"/>
        <v>Fail</v>
      </c>
    </row>
    <row r="19" spans="2:56" ht="15.75" customHeight="1">
      <c r="B19" s="16" t="s">
        <v>61</v>
      </c>
      <c r="F19" s="21"/>
      <c r="G19" s="13">
        <f t="shared" si="5"/>
        <v>9.5</v>
      </c>
      <c r="H19" s="22" t="str">
        <f t="shared" si="2"/>
        <v>Fail</v>
      </c>
      <c r="I19" s="22" t="str">
        <f t="shared" si="2"/>
        <v>Fail</v>
      </c>
      <c r="J19" s="22" t="str">
        <f t="shared" si="2"/>
        <v>Fail</v>
      </c>
      <c r="K19" s="22" t="str">
        <f t="shared" si="2"/>
        <v>Fail</v>
      </c>
      <c r="L19" s="22" t="str">
        <f t="shared" si="2"/>
        <v>Fail</v>
      </c>
      <c r="M19" s="22" t="str">
        <f t="shared" si="2"/>
        <v>Fail</v>
      </c>
      <c r="N19" s="22" t="str">
        <f t="shared" si="2"/>
        <v>Fail</v>
      </c>
      <c r="O19" s="22" t="str">
        <f t="shared" si="2"/>
        <v>Fail</v>
      </c>
      <c r="P19" s="22" t="str">
        <f t="shared" si="2"/>
        <v>Pass</v>
      </c>
      <c r="Q19" s="22" t="str">
        <f t="shared" si="2"/>
        <v>Pass</v>
      </c>
      <c r="R19" s="22" t="str">
        <f t="shared" si="2"/>
        <v>Pass</v>
      </c>
      <c r="S19" s="22" t="str">
        <f t="shared" si="2"/>
        <v>Pass</v>
      </c>
      <c r="T19" s="22" t="str">
        <f t="shared" si="2"/>
        <v>Pass</v>
      </c>
      <c r="U19" s="22" t="str">
        <f t="shared" si="2"/>
        <v>Pass</v>
      </c>
      <c r="V19" s="26" t="str">
        <f t="shared" si="2"/>
        <v>Pass</v>
      </c>
      <c r="W19" s="27" t="str">
        <f t="shared" si="2"/>
        <v>Pass</v>
      </c>
      <c r="X19" s="25" t="str">
        <f t="shared" si="3"/>
        <v>Pass</v>
      </c>
      <c r="Y19" s="22" t="str">
        <f t="shared" si="3"/>
        <v>Pass</v>
      </c>
      <c r="Z19" s="22" t="str">
        <f t="shared" si="3"/>
        <v>Pass</v>
      </c>
      <c r="AA19" s="22" t="str">
        <f t="shared" si="3"/>
        <v>Pass</v>
      </c>
      <c r="AB19" s="22" t="str">
        <f t="shared" si="3"/>
        <v>Pass</v>
      </c>
      <c r="AC19" s="22" t="str">
        <f t="shared" si="3"/>
        <v>Pass</v>
      </c>
      <c r="AD19" s="22" t="str">
        <f t="shared" si="3"/>
        <v>Pass</v>
      </c>
      <c r="AE19" s="22" t="str">
        <f t="shared" si="3"/>
        <v>Pass</v>
      </c>
      <c r="AF19" s="22" t="str">
        <f t="shared" si="3"/>
        <v>Pass</v>
      </c>
      <c r="AG19" s="22" t="str">
        <f t="shared" si="3"/>
        <v>Pass</v>
      </c>
      <c r="AH19" s="22" t="str">
        <f t="shared" si="3"/>
        <v>Pass</v>
      </c>
      <c r="AI19" s="22" t="str">
        <f t="shared" si="3"/>
        <v>Pass</v>
      </c>
      <c r="AJ19" s="22" t="str">
        <f t="shared" si="3"/>
        <v>Pass</v>
      </c>
      <c r="AK19" s="22" t="str">
        <f t="shared" si="3"/>
        <v>Pass</v>
      </c>
      <c r="AL19" s="22" t="str">
        <f t="shared" si="3"/>
        <v>Pass</v>
      </c>
      <c r="AM19" s="22" t="str">
        <f t="shared" si="3"/>
        <v>Pass</v>
      </c>
      <c r="AN19" s="22" t="str">
        <f t="shared" si="4"/>
        <v>Pass</v>
      </c>
      <c r="AO19" s="22" t="str">
        <f t="shared" si="4"/>
        <v>Pass</v>
      </c>
      <c r="AP19" s="22" t="str">
        <f t="shared" si="4"/>
        <v>Fail</v>
      </c>
      <c r="AQ19" s="22" t="str">
        <f t="shared" si="4"/>
        <v>Fail</v>
      </c>
      <c r="AR19" s="22" t="str">
        <f t="shared" si="4"/>
        <v>Fail</v>
      </c>
      <c r="AS19" s="22" t="str">
        <f t="shared" si="1"/>
        <v>Fail</v>
      </c>
      <c r="AT19" s="22" t="str">
        <f t="shared" si="1"/>
        <v>Fail</v>
      </c>
      <c r="AU19" s="22" t="str">
        <f t="shared" si="1"/>
        <v>Fail</v>
      </c>
      <c r="AV19" s="22" t="str">
        <f t="shared" si="1"/>
        <v>Fail</v>
      </c>
      <c r="AW19" s="22" t="str">
        <f t="shared" si="1"/>
        <v>Fail</v>
      </c>
      <c r="AX19" s="22" t="str">
        <f t="shared" si="1"/>
        <v>Fail</v>
      </c>
      <c r="AY19" s="22" t="str">
        <f t="shared" si="1"/>
        <v>Fail</v>
      </c>
      <c r="AZ19" s="22" t="str">
        <f t="shared" si="1"/>
        <v>Fail</v>
      </c>
      <c r="BA19" s="22" t="str">
        <f t="shared" si="1"/>
        <v>Fail</v>
      </c>
      <c r="BB19" s="22" t="str">
        <f t="shared" si="1"/>
        <v>Fail</v>
      </c>
      <c r="BC19" s="22" t="str">
        <f t="shared" si="1"/>
        <v>Fail</v>
      </c>
      <c r="BD19" s="22" t="str">
        <f t="shared" si="1"/>
        <v>Fail</v>
      </c>
    </row>
    <row r="20" spans="2:56" ht="15.75" customHeight="1">
      <c r="B20" s="11" t="s">
        <v>21</v>
      </c>
      <c r="C20" s="12">
        <v>11</v>
      </c>
      <c r="D20" s="13" t="s">
        <v>14</v>
      </c>
      <c r="F20" s="21"/>
      <c r="G20" s="13">
        <f t="shared" si="5"/>
        <v>10</v>
      </c>
      <c r="H20" s="22" t="str">
        <f t="shared" si="2"/>
        <v>Fail</v>
      </c>
      <c r="I20" s="22" t="str">
        <f t="shared" si="2"/>
        <v>Fail</v>
      </c>
      <c r="J20" s="22" t="str">
        <f t="shared" si="2"/>
        <v>Fail</v>
      </c>
      <c r="K20" s="22" t="str">
        <f t="shared" si="2"/>
        <v>Fail</v>
      </c>
      <c r="L20" s="22" t="str">
        <f t="shared" si="2"/>
        <v>Fail</v>
      </c>
      <c r="M20" s="22" t="str">
        <f t="shared" si="2"/>
        <v>Fail</v>
      </c>
      <c r="N20" s="22" t="str">
        <f t="shared" si="2"/>
        <v>Fail</v>
      </c>
      <c r="O20" s="22" t="str">
        <f t="shared" si="2"/>
        <v>Fail</v>
      </c>
      <c r="P20" s="22" t="str">
        <f t="shared" si="2"/>
        <v>Pass</v>
      </c>
      <c r="Q20" s="22" t="str">
        <f t="shared" si="2"/>
        <v>Pass</v>
      </c>
      <c r="R20" s="22" t="str">
        <f t="shared" si="2"/>
        <v>Pass</v>
      </c>
      <c r="S20" s="22" t="str">
        <f t="shared" si="2"/>
        <v>Pass</v>
      </c>
      <c r="T20" s="22" t="str">
        <f t="shared" si="2"/>
        <v>Pass</v>
      </c>
      <c r="U20" s="22" t="str">
        <f t="shared" si="2"/>
        <v>Pass</v>
      </c>
      <c r="V20" s="22" t="str">
        <f t="shared" si="2"/>
        <v>Pass</v>
      </c>
      <c r="W20" s="26" t="str">
        <f t="shared" ref="W20:AL52" si="6">IF( (MAX(W$3,$G20)*$C$16)&lt;(48*(MIN(W$3,$G20))^2*$C$15/$C$14/$C$13),"Pass","Fail")</f>
        <v>Pass</v>
      </c>
      <c r="X20" s="27" t="str">
        <f t="shared" si="3"/>
        <v>Pass</v>
      </c>
      <c r="Y20" s="25" t="str">
        <f t="shared" si="3"/>
        <v>Pass</v>
      </c>
      <c r="Z20" s="22" t="str">
        <f t="shared" si="3"/>
        <v>Pass</v>
      </c>
      <c r="AA20" s="22" t="str">
        <f t="shared" si="3"/>
        <v>Pass</v>
      </c>
      <c r="AB20" s="22" t="str">
        <f t="shared" si="3"/>
        <v>Pass</v>
      </c>
      <c r="AC20" s="22" t="str">
        <f t="shared" si="3"/>
        <v>Pass</v>
      </c>
      <c r="AD20" s="22" t="str">
        <f t="shared" si="3"/>
        <v>Pass</v>
      </c>
      <c r="AE20" s="22" t="str">
        <f t="shared" si="3"/>
        <v>Pass</v>
      </c>
      <c r="AF20" s="22" t="str">
        <f t="shared" si="3"/>
        <v>Pass</v>
      </c>
      <c r="AG20" s="22" t="str">
        <f t="shared" si="3"/>
        <v>Pass</v>
      </c>
      <c r="AH20" s="22" t="str">
        <f t="shared" si="3"/>
        <v>Pass</v>
      </c>
      <c r="AI20" s="22" t="str">
        <f t="shared" si="3"/>
        <v>Pass</v>
      </c>
      <c r="AJ20" s="22" t="str">
        <f t="shared" si="3"/>
        <v>Pass</v>
      </c>
      <c r="AK20" s="22" t="str">
        <f t="shared" si="3"/>
        <v>Pass</v>
      </c>
      <c r="AL20" s="22" t="str">
        <f t="shared" si="3"/>
        <v>Pass</v>
      </c>
      <c r="AM20" s="22" t="str">
        <f t="shared" ref="AM20:AM52" si="7">IF( (MAX(AM$3,$G20)*$C$16)&lt;(48*(MIN(AM$3,$G20))^2*$C$15/$C$14/$C$13),"Pass","Fail")</f>
        <v>Pass</v>
      </c>
      <c r="AN20" s="22" t="str">
        <f t="shared" si="4"/>
        <v>Pass</v>
      </c>
      <c r="AO20" s="22" t="str">
        <f t="shared" si="4"/>
        <v>Pass</v>
      </c>
      <c r="AP20" s="22" t="str">
        <f t="shared" si="4"/>
        <v>Pass</v>
      </c>
      <c r="AQ20" s="22" t="str">
        <f t="shared" si="4"/>
        <v>Pass</v>
      </c>
      <c r="AR20" s="22" t="str">
        <f t="shared" si="4"/>
        <v>Pass</v>
      </c>
      <c r="AS20" s="22" t="str">
        <f t="shared" si="4"/>
        <v>Fail</v>
      </c>
      <c r="AT20" s="22" t="str">
        <f t="shared" si="4"/>
        <v>Fail</v>
      </c>
      <c r="AU20" s="22" t="str">
        <f t="shared" si="4"/>
        <v>Fail</v>
      </c>
      <c r="AV20" s="22" t="str">
        <f t="shared" si="4"/>
        <v>Fail</v>
      </c>
      <c r="AW20" s="22" t="str">
        <f t="shared" si="4"/>
        <v>Fail</v>
      </c>
      <c r="AX20" s="22" t="str">
        <f t="shared" si="4"/>
        <v>Fail</v>
      </c>
      <c r="AY20" s="22" t="str">
        <f t="shared" si="4"/>
        <v>Fail</v>
      </c>
      <c r="AZ20" s="22" t="str">
        <f t="shared" si="4"/>
        <v>Fail</v>
      </c>
      <c r="BA20" s="22" t="str">
        <f t="shared" si="4"/>
        <v>Fail</v>
      </c>
      <c r="BB20" s="22" t="str">
        <f t="shared" si="4"/>
        <v>Fail</v>
      </c>
      <c r="BC20" s="22" t="str">
        <f t="shared" si="4"/>
        <v>Fail</v>
      </c>
      <c r="BD20" s="22" t="str">
        <f t="shared" ref="AS20:BD52" si="8">IF( (MAX(BD$3,$G20)*$C$16)&lt;(48*(MIN(BD$3,$G20))^2*$C$15/$C$14/$C$13),"Pass","Fail")</f>
        <v>Fail</v>
      </c>
    </row>
    <row r="21" spans="2:56" ht="15.75" customHeight="1">
      <c r="B21" s="11" t="s">
        <v>22</v>
      </c>
      <c r="C21" s="18">
        <f>C20*C16</f>
        <v>0.41799999999999998</v>
      </c>
      <c r="D21" s="13" t="s">
        <v>11</v>
      </c>
      <c r="F21" s="21"/>
      <c r="G21" s="13">
        <f t="shared" si="5"/>
        <v>10.5</v>
      </c>
      <c r="H21" s="22" t="str">
        <f t="shared" ref="H21:V52" si="9">IF( (MAX(H$3,$G21)*$C$16)&lt;(48*(MIN(H$3,$G21))^2*$C$15/$C$14/$C$13),"Pass","Fail")</f>
        <v>Fail</v>
      </c>
      <c r="I21" s="22" t="str">
        <f t="shared" si="9"/>
        <v>Fail</v>
      </c>
      <c r="J21" s="22" t="str">
        <f t="shared" si="9"/>
        <v>Fail</v>
      </c>
      <c r="K21" s="22" t="str">
        <f t="shared" si="9"/>
        <v>Fail</v>
      </c>
      <c r="L21" s="22" t="str">
        <f t="shared" si="9"/>
        <v>Fail</v>
      </c>
      <c r="M21" s="22" t="str">
        <f t="shared" si="9"/>
        <v>Fail</v>
      </c>
      <c r="N21" s="22" t="str">
        <f t="shared" si="9"/>
        <v>Fail</v>
      </c>
      <c r="O21" s="22" t="str">
        <f t="shared" si="9"/>
        <v>Fail</v>
      </c>
      <c r="P21" s="22" t="str">
        <f t="shared" si="9"/>
        <v>Fail</v>
      </c>
      <c r="Q21" s="22" t="str">
        <f t="shared" si="9"/>
        <v>Pass</v>
      </c>
      <c r="R21" s="22" t="str">
        <f t="shared" si="9"/>
        <v>Pass</v>
      </c>
      <c r="S21" s="22" t="str">
        <f t="shared" si="9"/>
        <v>Pass</v>
      </c>
      <c r="T21" s="22" t="str">
        <f t="shared" si="9"/>
        <v>Pass</v>
      </c>
      <c r="U21" s="22" t="str">
        <f t="shared" si="9"/>
        <v>Pass</v>
      </c>
      <c r="V21" s="22" t="str">
        <f t="shared" si="9"/>
        <v>Pass</v>
      </c>
      <c r="W21" s="22" t="str">
        <f t="shared" si="6"/>
        <v>Pass</v>
      </c>
      <c r="X21" s="26" t="str">
        <f t="shared" si="6"/>
        <v>Pass</v>
      </c>
      <c r="Y21" s="27" t="str">
        <f t="shared" si="6"/>
        <v>Pass</v>
      </c>
      <c r="Z21" s="25" t="str">
        <f t="shared" si="6"/>
        <v>Pass</v>
      </c>
      <c r="AA21" s="22" t="str">
        <f t="shared" si="6"/>
        <v>Pass</v>
      </c>
      <c r="AB21" s="22" t="str">
        <f t="shared" si="6"/>
        <v>Pass</v>
      </c>
      <c r="AC21" s="22" t="str">
        <f t="shared" si="6"/>
        <v>Pass</v>
      </c>
      <c r="AD21" s="22" t="str">
        <f t="shared" si="6"/>
        <v>Pass</v>
      </c>
      <c r="AE21" s="22" t="str">
        <f t="shared" si="6"/>
        <v>Pass</v>
      </c>
      <c r="AF21" s="22" t="str">
        <f t="shared" si="6"/>
        <v>Pass</v>
      </c>
      <c r="AG21" s="22" t="str">
        <f t="shared" si="6"/>
        <v>Pass</v>
      </c>
      <c r="AH21" s="22" t="str">
        <f t="shared" si="6"/>
        <v>Pass</v>
      </c>
      <c r="AI21" s="22" t="str">
        <f t="shared" si="6"/>
        <v>Pass</v>
      </c>
      <c r="AJ21" s="22" t="str">
        <f t="shared" si="6"/>
        <v>Pass</v>
      </c>
      <c r="AK21" s="22" t="str">
        <f t="shared" si="6"/>
        <v>Pass</v>
      </c>
      <c r="AL21" s="22" t="str">
        <f t="shared" si="6"/>
        <v>Pass</v>
      </c>
      <c r="AM21" s="22" t="str">
        <f t="shared" si="7"/>
        <v>Pass</v>
      </c>
      <c r="AN21" s="22" t="str">
        <f t="shared" si="4"/>
        <v>Pass</v>
      </c>
      <c r="AO21" s="22" t="str">
        <f t="shared" si="4"/>
        <v>Pass</v>
      </c>
      <c r="AP21" s="22" t="str">
        <f t="shared" si="4"/>
        <v>Pass</v>
      </c>
      <c r="AQ21" s="22" t="str">
        <f t="shared" si="4"/>
        <v>Pass</v>
      </c>
      <c r="AR21" s="22" t="str">
        <f t="shared" si="4"/>
        <v>Pass</v>
      </c>
      <c r="AS21" s="22" t="str">
        <f t="shared" si="8"/>
        <v>Pass</v>
      </c>
      <c r="AT21" s="22" t="str">
        <f t="shared" si="8"/>
        <v>Pass</v>
      </c>
      <c r="AU21" s="22" t="str">
        <f t="shared" si="8"/>
        <v>Pass</v>
      </c>
      <c r="AV21" s="22" t="str">
        <f t="shared" si="8"/>
        <v>Fail</v>
      </c>
      <c r="AW21" s="22" t="str">
        <f t="shared" si="8"/>
        <v>Fail</v>
      </c>
      <c r="AX21" s="22" t="str">
        <f t="shared" si="8"/>
        <v>Fail</v>
      </c>
      <c r="AY21" s="22" t="str">
        <f t="shared" si="8"/>
        <v>Fail</v>
      </c>
      <c r="AZ21" s="22" t="str">
        <f t="shared" si="8"/>
        <v>Fail</v>
      </c>
      <c r="BA21" s="22" t="str">
        <f t="shared" si="8"/>
        <v>Fail</v>
      </c>
      <c r="BB21" s="22" t="str">
        <f t="shared" si="8"/>
        <v>Fail</v>
      </c>
      <c r="BC21" s="22" t="str">
        <f t="shared" si="8"/>
        <v>Fail</v>
      </c>
      <c r="BD21" s="22" t="str">
        <f t="shared" si="8"/>
        <v>Fail</v>
      </c>
    </row>
    <row r="22" spans="2:56" ht="15.75" customHeight="1">
      <c r="B22" s="11" t="s">
        <v>23</v>
      </c>
      <c r="C22" s="18">
        <f>48*C20^2*C15/C14/C13</f>
        <v>1.3125423728813559</v>
      </c>
      <c r="D22" s="13" t="s">
        <v>11</v>
      </c>
      <c r="F22" s="21"/>
      <c r="G22" s="13">
        <f t="shared" si="5"/>
        <v>11</v>
      </c>
      <c r="H22" s="22" t="str">
        <f t="shared" si="9"/>
        <v>Fail</v>
      </c>
      <c r="I22" s="22" t="str">
        <f t="shared" si="9"/>
        <v>Fail</v>
      </c>
      <c r="J22" s="22" t="str">
        <f t="shared" si="9"/>
        <v>Fail</v>
      </c>
      <c r="K22" s="22" t="str">
        <f t="shared" si="9"/>
        <v>Fail</v>
      </c>
      <c r="L22" s="22" t="str">
        <f t="shared" si="9"/>
        <v>Fail</v>
      </c>
      <c r="M22" s="22" t="str">
        <f t="shared" si="9"/>
        <v>Fail</v>
      </c>
      <c r="N22" s="22" t="str">
        <f t="shared" si="9"/>
        <v>Fail</v>
      </c>
      <c r="O22" s="22" t="str">
        <f t="shared" si="9"/>
        <v>Fail</v>
      </c>
      <c r="P22" s="22" t="str">
        <f t="shared" si="9"/>
        <v>Fail</v>
      </c>
      <c r="Q22" s="22" t="str">
        <f t="shared" si="9"/>
        <v>Pass</v>
      </c>
      <c r="R22" s="22" t="str">
        <f t="shared" si="9"/>
        <v>Pass</v>
      </c>
      <c r="S22" s="22" t="str">
        <f t="shared" si="9"/>
        <v>Pass</v>
      </c>
      <c r="T22" s="22" t="str">
        <f t="shared" si="9"/>
        <v>Pass</v>
      </c>
      <c r="U22" s="22" t="str">
        <f t="shared" si="9"/>
        <v>Pass</v>
      </c>
      <c r="V22" s="22" t="str">
        <f t="shared" si="9"/>
        <v>Pass</v>
      </c>
      <c r="W22" s="22" t="str">
        <f t="shared" si="6"/>
        <v>Pass</v>
      </c>
      <c r="X22" s="22" t="str">
        <f t="shared" si="6"/>
        <v>Pass</v>
      </c>
      <c r="Y22" s="26" t="str">
        <f t="shared" si="6"/>
        <v>Pass</v>
      </c>
      <c r="Z22" s="27" t="str">
        <f t="shared" si="6"/>
        <v>Pass</v>
      </c>
      <c r="AA22" s="25" t="str">
        <f t="shared" si="6"/>
        <v>Pass</v>
      </c>
      <c r="AB22" s="22" t="str">
        <f t="shared" si="6"/>
        <v>Pass</v>
      </c>
      <c r="AC22" s="22" t="str">
        <f t="shared" si="6"/>
        <v>Pass</v>
      </c>
      <c r="AD22" s="22" t="str">
        <f t="shared" si="6"/>
        <v>Pass</v>
      </c>
      <c r="AE22" s="22" t="str">
        <f t="shared" si="6"/>
        <v>Pass</v>
      </c>
      <c r="AF22" s="22" t="str">
        <f t="shared" si="6"/>
        <v>Pass</v>
      </c>
      <c r="AG22" s="22" t="str">
        <f t="shared" si="6"/>
        <v>Pass</v>
      </c>
      <c r="AH22" s="22" t="str">
        <f t="shared" si="6"/>
        <v>Pass</v>
      </c>
      <c r="AI22" s="22" t="str">
        <f t="shared" si="6"/>
        <v>Pass</v>
      </c>
      <c r="AJ22" s="22" t="str">
        <f t="shared" si="6"/>
        <v>Pass</v>
      </c>
      <c r="AK22" s="22" t="str">
        <f t="shared" si="6"/>
        <v>Pass</v>
      </c>
      <c r="AL22" s="22" t="str">
        <f t="shared" si="6"/>
        <v>Pass</v>
      </c>
      <c r="AM22" s="22" t="str">
        <f t="shared" si="7"/>
        <v>Pass</v>
      </c>
      <c r="AN22" s="22" t="str">
        <f t="shared" si="4"/>
        <v>Pass</v>
      </c>
      <c r="AO22" s="22" t="str">
        <f t="shared" si="4"/>
        <v>Pass</v>
      </c>
      <c r="AP22" s="22" t="str">
        <f t="shared" si="4"/>
        <v>Pass</v>
      </c>
      <c r="AQ22" s="22" t="str">
        <f t="shared" si="4"/>
        <v>Pass</v>
      </c>
      <c r="AR22" s="22" t="str">
        <f t="shared" si="4"/>
        <v>Pass</v>
      </c>
      <c r="AS22" s="22" t="str">
        <f t="shared" si="8"/>
        <v>Pass</v>
      </c>
      <c r="AT22" s="22" t="str">
        <f t="shared" si="8"/>
        <v>Pass</v>
      </c>
      <c r="AU22" s="22" t="str">
        <f t="shared" si="8"/>
        <v>Pass</v>
      </c>
      <c r="AV22" s="22" t="str">
        <f t="shared" si="8"/>
        <v>Pass</v>
      </c>
      <c r="AW22" s="22" t="str">
        <f t="shared" si="8"/>
        <v>Pass</v>
      </c>
      <c r="AX22" s="22" t="str">
        <f t="shared" si="8"/>
        <v>Pass</v>
      </c>
      <c r="AY22" s="22" t="str">
        <f t="shared" si="8"/>
        <v>Fail</v>
      </c>
      <c r="AZ22" s="22" t="str">
        <f t="shared" si="8"/>
        <v>Fail</v>
      </c>
      <c r="BA22" s="22" t="str">
        <f t="shared" si="8"/>
        <v>Fail</v>
      </c>
      <c r="BB22" s="22" t="str">
        <f t="shared" si="8"/>
        <v>Fail</v>
      </c>
      <c r="BC22" s="22" t="str">
        <f t="shared" si="8"/>
        <v>Fail</v>
      </c>
      <c r="BD22" s="22" t="str">
        <f t="shared" si="8"/>
        <v>Fail</v>
      </c>
    </row>
    <row r="23" spans="2:56" ht="15.75" customHeight="1">
      <c r="B23" s="11" t="s">
        <v>24</v>
      </c>
      <c r="C23" s="15" t="str">
        <f>IF(C21&lt;C22,"Pass", "Fail")</f>
        <v>Pass</v>
      </c>
      <c r="D23" s="13"/>
      <c r="F23" s="21"/>
      <c r="G23" s="13">
        <f t="shared" si="5"/>
        <v>11.5</v>
      </c>
      <c r="H23" s="22" t="str">
        <f t="shared" si="9"/>
        <v>Fail</v>
      </c>
      <c r="I23" s="22" t="str">
        <f t="shared" si="9"/>
        <v>Fail</v>
      </c>
      <c r="J23" s="22" t="str">
        <f t="shared" si="9"/>
        <v>Fail</v>
      </c>
      <c r="K23" s="22" t="str">
        <f t="shared" si="9"/>
        <v>Fail</v>
      </c>
      <c r="L23" s="22" t="str">
        <f t="shared" si="9"/>
        <v>Fail</v>
      </c>
      <c r="M23" s="22" t="str">
        <f t="shared" si="9"/>
        <v>Fail</v>
      </c>
      <c r="N23" s="22" t="str">
        <f t="shared" si="9"/>
        <v>Fail</v>
      </c>
      <c r="O23" s="22" t="str">
        <f t="shared" si="9"/>
        <v>Fail</v>
      </c>
      <c r="P23" s="22" t="str">
        <f t="shared" si="9"/>
        <v>Fail</v>
      </c>
      <c r="Q23" s="22" t="str">
        <f t="shared" si="9"/>
        <v>Pass</v>
      </c>
      <c r="R23" s="22" t="str">
        <f t="shared" si="9"/>
        <v>Pass</v>
      </c>
      <c r="S23" s="22" t="str">
        <f t="shared" si="9"/>
        <v>Pass</v>
      </c>
      <c r="T23" s="22" t="str">
        <f t="shared" si="9"/>
        <v>Pass</v>
      </c>
      <c r="U23" s="22" t="str">
        <f t="shared" si="9"/>
        <v>Pass</v>
      </c>
      <c r="V23" s="22" t="str">
        <f t="shared" si="9"/>
        <v>Pass</v>
      </c>
      <c r="W23" s="22" t="str">
        <f t="shared" si="6"/>
        <v>Pass</v>
      </c>
      <c r="X23" s="22" t="str">
        <f t="shared" si="6"/>
        <v>Pass</v>
      </c>
      <c r="Y23" s="22" t="str">
        <f t="shared" si="6"/>
        <v>Pass</v>
      </c>
      <c r="Z23" s="26" t="str">
        <f t="shared" si="6"/>
        <v>Pass</v>
      </c>
      <c r="AA23" s="27" t="str">
        <f t="shared" si="6"/>
        <v>Pass</v>
      </c>
      <c r="AB23" s="25" t="str">
        <f t="shared" si="6"/>
        <v>Pass</v>
      </c>
      <c r="AC23" s="22" t="str">
        <f t="shared" si="6"/>
        <v>Pass</v>
      </c>
      <c r="AD23" s="22" t="str">
        <f t="shared" si="6"/>
        <v>Pass</v>
      </c>
      <c r="AE23" s="22" t="str">
        <f t="shared" si="6"/>
        <v>Pass</v>
      </c>
      <c r="AF23" s="22" t="str">
        <f t="shared" si="6"/>
        <v>Pass</v>
      </c>
      <c r="AG23" s="22" t="str">
        <f t="shared" si="6"/>
        <v>Pass</v>
      </c>
      <c r="AH23" s="22" t="str">
        <f t="shared" si="6"/>
        <v>Pass</v>
      </c>
      <c r="AI23" s="22" t="str">
        <f t="shared" si="6"/>
        <v>Pass</v>
      </c>
      <c r="AJ23" s="22" t="str">
        <f t="shared" si="6"/>
        <v>Pass</v>
      </c>
      <c r="AK23" s="22" t="str">
        <f t="shared" si="6"/>
        <v>Pass</v>
      </c>
      <c r="AL23" s="22" t="str">
        <f t="shared" si="6"/>
        <v>Pass</v>
      </c>
      <c r="AM23" s="22" t="str">
        <f t="shared" si="7"/>
        <v>Pass</v>
      </c>
      <c r="AN23" s="22" t="str">
        <f t="shared" si="4"/>
        <v>Pass</v>
      </c>
      <c r="AO23" s="22" t="str">
        <f t="shared" si="4"/>
        <v>Pass</v>
      </c>
      <c r="AP23" s="22" t="str">
        <f t="shared" si="4"/>
        <v>Pass</v>
      </c>
      <c r="AQ23" s="22" t="str">
        <f t="shared" si="4"/>
        <v>Pass</v>
      </c>
      <c r="AR23" s="22" t="str">
        <f t="shared" si="4"/>
        <v>Pass</v>
      </c>
      <c r="AS23" s="22" t="str">
        <f t="shared" si="8"/>
        <v>Pass</v>
      </c>
      <c r="AT23" s="22" t="str">
        <f t="shared" si="8"/>
        <v>Pass</v>
      </c>
      <c r="AU23" s="22" t="str">
        <f t="shared" si="8"/>
        <v>Pass</v>
      </c>
      <c r="AV23" s="22" t="str">
        <f t="shared" si="8"/>
        <v>Pass</v>
      </c>
      <c r="AW23" s="22" t="str">
        <f t="shared" si="8"/>
        <v>Pass</v>
      </c>
      <c r="AX23" s="22" t="str">
        <f t="shared" si="8"/>
        <v>Pass</v>
      </c>
      <c r="AY23" s="22" t="str">
        <f t="shared" si="8"/>
        <v>Pass</v>
      </c>
      <c r="AZ23" s="22" t="str">
        <f t="shared" si="8"/>
        <v>Pass</v>
      </c>
      <c r="BA23" s="22" t="str">
        <f t="shared" si="8"/>
        <v>Pass</v>
      </c>
      <c r="BB23" s="22" t="str">
        <f t="shared" si="8"/>
        <v>Fail</v>
      </c>
      <c r="BC23" s="22" t="str">
        <f t="shared" si="8"/>
        <v>Fail</v>
      </c>
      <c r="BD23" s="22" t="str">
        <f t="shared" si="8"/>
        <v>Fail</v>
      </c>
    </row>
    <row r="24" spans="2:56" ht="15.75" customHeight="1">
      <c r="F24" s="21"/>
      <c r="G24" s="13">
        <f t="shared" si="5"/>
        <v>12</v>
      </c>
      <c r="H24" s="22" t="str">
        <f t="shared" si="9"/>
        <v>Fail</v>
      </c>
      <c r="I24" s="22" t="str">
        <f t="shared" si="9"/>
        <v>Fail</v>
      </c>
      <c r="J24" s="22" t="str">
        <f t="shared" si="9"/>
        <v>Fail</v>
      </c>
      <c r="K24" s="22" t="str">
        <f t="shared" si="9"/>
        <v>Fail</v>
      </c>
      <c r="L24" s="22" t="str">
        <f t="shared" si="9"/>
        <v>Fail</v>
      </c>
      <c r="M24" s="22" t="str">
        <f t="shared" si="9"/>
        <v>Fail</v>
      </c>
      <c r="N24" s="22" t="str">
        <f t="shared" si="9"/>
        <v>Fail</v>
      </c>
      <c r="O24" s="22" t="str">
        <f t="shared" si="9"/>
        <v>Fail</v>
      </c>
      <c r="P24" s="22" t="str">
        <f t="shared" si="9"/>
        <v>Fail</v>
      </c>
      <c r="Q24" s="22" t="str">
        <f t="shared" si="9"/>
        <v>Pass</v>
      </c>
      <c r="R24" s="22" t="str">
        <f t="shared" si="9"/>
        <v>Pass</v>
      </c>
      <c r="S24" s="22" t="str">
        <f t="shared" si="9"/>
        <v>Pass</v>
      </c>
      <c r="T24" s="22" t="str">
        <f t="shared" si="9"/>
        <v>Pass</v>
      </c>
      <c r="U24" s="22" t="str">
        <f t="shared" si="9"/>
        <v>Pass</v>
      </c>
      <c r="V24" s="22" t="str">
        <f t="shared" si="9"/>
        <v>Pass</v>
      </c>
      <c r="W24" s="22" t="str">
        <f t="shared" si="6"/>
        <v>Pass</v>
      </c>
      <c r="X24" s="22" t="str">
        <f t="shared" si="6"/>
        <v>Pass</v>
      </c>
      <c r="Y24" s="22" t="str">
        <f t="shared" si="6"/>
        <v>Pass</v>
      </c>
      <c r="Z24" s="22" t="str">
        <f t="shared" si="6"/>
        <v>Pass</v>
      </c>
      <c r="AA24" s="26" t="str">
        <f t="shared" si="6"/>
        <v>Pass</v>
      </c>
      <c r="AB24" s="27" t="str">
        <f t="shared" si="6"/>
        <v>Pass</v>
      </c>
      <c r="AC24" s="25" t="str">
        <f t="shared" si="6"/>
        <v>Pass</v>
      </c>
      <c r="AD24" s="22" t="str">
        <f t="shared" si="6"/>
        <v>Pass</v>
      </c>
      <c r="AE24" s="22" t="str">
        <f t="shared" si="6"/>
        <v>Pass</v>
      </c>
      <c r="AF24" s="22" t="str">
        <f t="shared" si="6"/>
        <v>Pass</v>
      </c>
      <c r="AG24" s="22" t="str">
        <f t="shared" si="6"/>
        <v>Pass</v>
      </c>
      <c r="AH24" s="22" t="str">
        <f t="shared" si="6"/>
        <v>Pass</v>
      </c>
      <c r="AI24" s="22" t="str">
        <f t="shared" si="6"/>
        <v>Pass</v>
      </c>
      <c r="AJ24" s="22" t="str">
        <f t="shared" si="6"/>
        <v>Pass</v>
      </c>
      <c r="AK24" s="22" t="str">
        <f t="shared" si="6"/>
        <v>Pass</v>
      </c>
      <c r="AL24" s="22" t="str">
        <f t="shared" si="6"/>
        <v>Pass</v>
      </c>
      <c r="AM24" s="22" t="str">
        <f t="shared" si="7"/>
        <v>Pass</v>
      </c>
      <c r="AN24" s="22" t="str">
        <f t="shared" si="4"/>
        <v>Pass</v>
      </c>
      <c r="AO24" s="22" t="str">
        <f t="shared" si="4"/>
        <v>Pass</v>
      </c>
      <c r="AP24" s="22" t="str">
        <f t="shared" si="4"/>
        <v>Pass</v>
      </c>
      <c r="AQ24" s="22" t="str">
        <f t="shared" si="4"/>
        <v>Pass</v>
      </c>
      <c r="AR24" s="22" t="str">
        <f t="shared" si="4"/>
        <v>Pass</v>
      </c>
      <c r="AS24" s="22" t="str">
        <f t="shared" si="8"/>
        <v>Pass</v>
      </c>
      <c r="AT24" s="22" t="str">
        <f t="shared" si="8"/>
        <v>Pass</v>
      </c>
      <c r="AU24" s="22" t="str">
        <f t="shared" si="8"/>
        <v>Pass</v>
      </c>
      <c r="AV24" s="22" t="str">
        <f t="shared" si="8"/>
        <v>Pass</v>
      </c>
      <c r="AW24" s="22" t="str">
        <f t="shared" si="8"/>
        <v>Pass</v>
      </c>
      <c r="AX24" s="22" t="str">
        <f t="shared" si="8"/>
        <v>Pass</v>
      </c>
      <c r="AY24" s="22" t="str">
        <f t="shared" si="8"/>
        <v>Pass</v>
      </c>
      <c r="AZ24" s="22" t="str">
        <f t="shared" si="8"/>
        <v>Pass</v>
      </c>
      <c r="BA24" s="22" t="str">
        <f t="shared" si="8"/>
        <v>Pass</v>
      </c>
      <c r="BB24" s="22" t="str">
        <f t="shared" si="8"/>
        <v>Pass</v>
      </c>
      <c r="BC24" s="22" t="str">
        <f t="shared" si="8"/>
        <v>Pass</v>
      </c>
      <c r="BD24" s="22" t="str">
        <f t="shared" si="8"/>
        <v>Pass</v>
      </c>
    </row>
    <row r="25" spans="2:56" ht="15.75" customHeight="1">
      <c r="F25" s="21"/>
      <c r="G25" s="13">
        <f>G24+1</f>
        <v>13</v>
      </c>
      <c r="H25" s="22" t="str">
        <f t="shared" si="9"/>
        <v>Fail</v>
      </c>
      <c r="I25" s="22" t="str">
        <f t="shared" si="9"/>
        <v>Fail</v>
      </c>
      <c r="J25" s="22" t="str">
        <f t="shared" si="9"/>
        <v>Fail</v>
      </c>
      <c r="K25" s="22" t="str">
        <f t="shared" si="9"/>
        <v>Fail</v>
      </c>
      <c r="L25" s="22" t="str">
        <f t="shared" si="9"/>
        <v>Fail</v>
      </c>
      <c r="M25" s="22" t="str">
        <f t="shared" si="9"/>
        <v>Fail</v>
      </c>
      <c r="N25" s="22" t="str">
        <f t="shared" si="9"/>
        <v>Fail</v>
      </c>
      <c r="O25" s="22" t="str">
        <f t="shared" si="9"/>
        <v>Fail</v>
      </c>
      <c r="P25" s="22" t="str">
        <f t="shared" si="9"/>
        <v>Fail</v>
      </c>
      <c r="Q25" s="22" t="str">
        <f t="shared" si="9"/>
        <v>Fail</v>
      </c>
      <c r="R25" s="22" t="str">
        <f t="shared" si="9"/>
        <v>Pass</v>
      </c>
      <c r="S25" s="22" t="str">
        <f t="shared" si="9"/>
        <v>Pass</v>
      </c>
      <c r="T25" s="22" t="str">
        <f t="shared" si="9"/>
        <v>Pass</v>
      </c>
      <c r="U25" s="22" t="str">
        <f t="shared" si="9"/>
        <v>Pass</v>
      </c>
      <c r="V25" s="22" t="str">
        <f t="shared" si="9"/>
        <v>Pass</v>
      </c>
      <c r="W25" s="22" t="str">
        <f t="shared" si="6"/>
        <v>Pass</v>
      </c>
      <c r="X25" s="22" t="str">
        <f t="shared" si="6"/>
        <v>Pass</v>
      </c>
      <c r="Y25" s="22" t="str">
        <f t="shared" si="6"/>
        <v>Pass</v>
      </c>
      <c r="Z25" s="22" t="str">
        <f t="shared" si="6"/>
        <v>Pass</v>
      </c>
      <c r="AA25" s="22" t="str">
        <f t="shared" si="6"/>
        <v>Pass</v>
      </c>
      <c r="AB25" s="26" t="str">
        <f t="shared" si="6"/>
        <v>Pass</v>
      </c>
      <c r="AC25" s="27" t="str">
        <f t="shared" si="6"/>
        <v>Pass</v>
      </c>
      <c r="AD25" s="25" t="str">
        <f t="shared" si="6"/>
        <v>Pass</v>
      </c>
      <c r="AE25" s="22" t="str">
        <f t="shared" si="6"/>
        <v>Pass</v>
      </c>
      <c r="AF25" s="22" t="str">
        <f t="shared" si="6"/>
        <v>Pass</v>
      </c>
      <c r="AG25" s="22" t="str">
        <f t="shared" si="6"/>
        <v>Pass</v>
      </c>
      <c r="AH25" s="22" t="str">
        <f t="shared" si="6"/>
        <v>Pass</v>
      </c>
      <c r="AI25" s="22" t="str">
        <f t="shared" si="6"/>
        <v>Pass</v>
      </c>
      <c r="AJ25" s="22" t="str">
        <f t="shared" si="6"/>
        <v>Pass</v>
      </c>
      <c r="AK25" s="22" t="str">
        <f t="shared" si="6"/>
        <v>Pass</v>
      </c>
      <c r="AL25" s="22" t="str">
        <f t="shared" si="6"/>
        <v>Pass</v>
      </c>
      <c r="AM25" s="22" t="str">
        <f t="shared" si="7"/>
        <v>Pass</v>
      </c>
      <c r="AN25" s="22" t="str">
        <f t="shared" si="4"/>
        <v>Pass</v>
      </c>
      <c r="AO25" s="22" t="str">
        <f t="shared" si="4"/>
        <v>Pass</v>
      </c>
      <c r="AP25" s="22" t="str">
        <f t="shared" si="4"/>
        <v>Pass</v>
      </c>
      <c r="AQ25" s="22" t="str">
        <f t="shared" si="4"/>
        <v>Pass</v>
      </c>
      <c r="AR25" s="22" t="str">
        <f t="shared" si="4"/>
        <v>Pass</v>
      </c>
      <c r="AS25" s="22" t="str">
        <f t="shared" si="8"/>
        <v>Pass</v>
      </c>
      <c r="AT25" s="22" t="str">
        <f t="shared" si="8"/>
        <v>Pass</v>
      </c>
      <c r="AU25" s="22" t="str">
        <f t="shared" si="8"/>
        <v>Pass</v>
      </c>
      <c r="AV25" s="22" t="str">
        <f t="shared" si="8"/>
        <v>Pass</v>
      </c>
      <c r="AW25" s="22" t="str">
        <f t="shared" si="8"/>
        <v>Pass</v>
      </c>
      <c r="AX25" s="22" t="str">
        <f t="shared" si="8"/>
        <v>Pass</v>
      </c>
      <c r="AY25" s="22" t="str">
        <f t="shared" si="8"/>
        <v>Pass</v>
      </c>
      <c r="AZ25" s="22" t="str">
        <f t="shared" si="8"/>
        <v>Pass</v>
      </c>
      <c r="BA25" s="22" t="str">
        <f t="shared" si="8"/>
        <v>Pass</v>
      </c>
      <c r="BB25" s="22" t="str">
        <f t="shared" si="8"/>
        <v>Pass</v>
      </c>
      <c r="BC25" s="22" t="str">
        <f t="shared" si="8"/>
        <v>Pass</v>
      </c>
      <c r="BD25" s="22" t="str">
        <f t="shared" si="8"/>
        <v>Pass</v>
      </c>
    </row>
    <row r="26" spans="2:56" ht="15.75" customHeight="1">
      <c r="F26" s="21"/>
      <c r="G26" s="13">
        <f t="shared" ref="G26:G52" si="10">G25+1</f>
        <v>14</v>
      </c>
      <c r="H26" s="22" t="str">
        <f t="shared" si="9"/>
        <v>Fail</v>
      </c>
      <c r="I26" s="22" t="str">
        <f t="shared" si="9"/>
        <v>Fail</v>
      </c>
      <c r="J26" s="22" t="str">
        <f t="shared" si="9"/>
        <v>Fail</v>
      </c>
      <c r="K26" s="22" t="str">
        <f t="shared" si="9"/>
        <v>Fail</v>
      </c>
      <c r="L26" s="22" t="str">
        <f t="shared" si="9"/>
        <v>Fail</v>
      </c>
      <c r="M26" s="22" t="str">
        <f t="shared" si="9"/>
        <v>Fail</v>
      </c>
      <c r="N26" s="22" t="str">
        <f t="shared" si="9"/>
        <v>Fail</v>
      </c>
      <c r="O26" s="22" t="str">
        <f t="shared" si="9"/>
        <v>Fail</v>
      </c>
      <c r="P26" s="22" t="str">
        <f t="shared" si="9"/>
        <v>Fail</v>
      </c>
      <c r="Q26" s="22" t="str">
        <f t="shared" si="9"/>
        <v>Fail</v>
      </c>
      <c r="R26" s="22" t="str">
        <f t="shared" si="9"/>
        <v>Fail</v>
      </c>
      <c r="S26" s="22" t="str">
        <f t="shared" si="9"/>
        <v>Pass</v>
      </c>
      <c r="T26" s="22" t="str">
        <f t="shared" si="9"/>
        <v>Pass</v>
      </c>
      <c r="U26" s="22" t="str">
        <f t="shared" si="9"/>
        <v>Pass</v>
      </c>
      <c r="V26" s="22" t="str">
        <f t="shared" si="9"/>
        <v>Pass</v>
      </c>
      <c r="W26" s="22" t="str">
        <f t="shared" si="6"/>
        <v>Pass</v>
      </c>
      <c r="X26" s="22" t="str">
        <f t="shared" si="6"/>
        <v>Pass</v>
      </c>
      <c r="Y26" s="22" t="str">
        <f t="shared" si="6"/>
        <v>Pass</v>
      </c>
      <c r="Z26" s="22" t="str">
        <f t="shared" si="6"/>
        <v>Pass</v>
      </c>
      <c r="AA26" s="22" t="str">
        <f t="shared" si="6"/>
        <v>Pass</v>
      </c>
      <c r="AB26" s="22" t="str">
        <f t="shared" si="6"/>
        <v>Pass</v>
      </c>
      <c r="AC26" s="26" t="str">
        <f t="shared" si="6"/>
        <v>Pass</v>
      </c>
      <c r="AD26" s="27" t="str">
        <f t="shared" si="6"/>
        <v>Pass</v>
      </c>
      <c r="AE26" s="25" t="str">
        <f t="shared" si="6"/>
        <v>Pass</v>
      </c>
      <c r="AF26" s="22" t="str">
        <f t="shared" si="6"/>
        <v>Pass</v>
      </c>
      <c r="AG26" s="22" t="str">
        <f t="shared" si="6"/>
        <v>Pass</v>
      </c>
      <c r="AH26" s="22" t="str">
        <f t="shared" si="6"/>
        <v>Pass</v>
      </c>
      <c r="AI26" s="22" t="str">
        <f t="shared" si="6"/>
        <v>Pass</v>
      </c>
      <c r="AJ26" s="22" t="str">
        <f t="shared" si="6"/>
        <v>Pass</v>
      </c>
      <c r="AK26" s="22" t="str">
        <f t="shared" si="6"/>
        <v>Pass</v>
      </c>
      <c r="AL26" s="22" t="str">
        <f t="shared" si="6"/>
        <v>Pass</v>
      </c>
      <c r="AM26" s="22" t="str">
        <f t="shared" si="7"/>
        <v>Pass</v>
      </c>
      <c r="AN26" s="22" t="str">
        <f t="shared" si="4"/>
        <v>Pass</v>
      </c>
      <c r="AO26" s="22" t="str">
        <f t="shared" si="4"/>
        <v>Pass</v>
      </c>
      <c r="AP26" s="22" t="str">
        <f t="shared" si="4"/>
        <v>Pass</v>
      </c>
      <c r="AQ26" s="22" t="str">
        <f t="shared" si="4"/>
        <v>Pass</v>
      </c>
      <c r="AR26" s="22" t="str">
        <f t="shared" si="4"/>
        <v>Pass</v>
      </c>
      <c r="AS26" s="22" t="str">
        <f t="shared" si="8"/>
        <v>Pass</v>
      </c>
      <c r="AT26" s="22" t="str">
        <f t="shared" si="8"/>
        <v>Pass</v>
      </c>
      <c r="AU26" s="22" t="str">
        <f t="shared" si="8"/>
        <v>Pass</v>
      </c>
      <c r="AV26" s="22" t="str">
        <f t="shared" si="8"/>
        <v>Pass</v>
      </c>
      <c r="AW26" s="22" t="str">
        <f t="shared" si="8"/>
        <v>Pass</v>
      </c>
      <c r="AX26" s="22" t="str">
        <f t="shared" si="8"/>
        <v>Pass</v>
      </c>
      <c r="AY26" s="22" t="str">
        <f t="shared" si="8"/>
        <v>Pass</v>
      </c>
      <c r="AZ26" s="22" t="str">
        <f t="shared" si="8"/>
        <v>Pass</v>
      </c>
      <c r="BA26" s="22" t="str">
        <f t="shared" si="8"/>
        <v>Pass</v>
      </c>
      <c r="BB26" s="22" t="str">
        <f t="shared" si="8"/>
        <v>Pass</v>
      </c>
      <c r="BC26" s="22" t="str">
        <f t="shared" si="8"/>
        <v>Pass</v>
      </c>
      <c r="BD26" s="22" t="str">
        <f t="shared" si="8"/>
        <v>Pass</v>
      </c>
    </row>
    <row r="27" spans="2:56" ht="15.75" customHeight="1">
      <c r="F27" s="21"/>
      <c r="G27" s="13">
        <f t="shared" si="10"/>
        <v>15</v>
      </c>
      <c r="H27" s="22" t="str">
        <f t="shared" si="9"/>
        <v>Fail</v>
      </c>
      <c r="I27" s="22" t="str">
        <f t="shared" si="9"/>
        <v>Fail</v>
      </c>
      <c r="J27" s="22" t="str">
        <f t="shared" si="9"/>
        <v>Fail</v>
      </c>
      <c r="K27" s="22" t="str">
        <f t="shared" si="9"/>
        <v>Fail</v>
      </c>
      <c r="L27" s="22" t="str">
        <f t="shared" si="9"/>
        <v>Fail</v>
      </c>
      <c r="M27" s="22" t="str">
        <f t="shared" si="9"/>
        <v>Fail</v>
      </c>
      <c r="N27" s="22" t="str">
        <f t="shared" si="9"/>
        <v>Fail</v>
      </c>
      <c r="O27" s="22" t="str">
        <f t="shared" si="9"/>
        <v>Fail</v>
      </c>
      <c r="P27" s="22" t="str">
        <f t="shared" si="9"/>
        <v>Fail</v>
      </c>
      <c r="Q27" s="22" t="str">
        <f t="shared" si="9"/>
        <v>Fail</v>
      </c>
      <c r="R27" s="22" t="str">
        <f t="shared" si="9"/>
        <v>Fail</v>
      </c>
      <c r="S27" s="22" t="str">
        <f t="shared" si="9"/>
        <v>Pass</v>
      </c>
      <c r="T27" s="22" t="str">
        <f t="shared" si="9"/>
        <v>Pass</v>
      </c>
      <c r="U27" s="22" t="str">
        <f t="shared" si="9"/>
        <v>Pass</v>
      </c>
      <c r="V27" s="22" t="str">
        <f t="shared" si="9"/>
        <v>Pass</v>
      </c>
      <c r="W27" s="22" t="str">
        <f t="shared" si="6"/>
        <v>Pass</v>
      </c>
      <c r="X27" s="22" t="str">
        <f t="shared" si="6"/>
        <v>Pass</v>
      </c>
      <c r="Y27" s="22" t="str">
        <f t="shared" si="6"/>
        <v>Pass</v>
      </c>
      <c r="Z27" s="22" t="str">
        <f t="shared" si="6"/>
        <v>Pass</v>
      </c>
      <c r="AA27" s="22" t="str">
        <f t="shared" si="6"/>
        <v>Pass</v>
      </c>
      <c r="AB27" s="22" t="str">
        <f t="shared" si="6"/>
        <v>Pass</v>
      </c>
      <c r="AC27" s="22" t="str">
        <f t="shared" si="6"/>
        <v>Pass</v>
      </c>
      <c r="AD27" s="26" t="str">
        <f t="shared" si="6"/>
        <v>Pass</v>
      </c>
      <c r="AE27" s="27" t="str">
        <f t="shared" si="6"/>
        <v>Pass</v>
      </c>
      <c r="AF27" s="25" t="str">
        <f t="shared" si="6"/>
        <v>Pass</v>
      </c>
      <c r="AG27" s="22" t="str">
        <f t="shared" si="6"/>
        <v>Pass</v>
      </c>
      <c r="AH27" s="22" t="str">
        <f t="shared" si="6"/>
        <v>Pass</v>
      </c>
      <c r="AI27" s="22" t="str">
        <f t="shared" si="6"/>
        <v>Pass</v>
      </c>
      <c r="AJ27" s="22" t="str">
        <f t="shared" si="6"/>
        <v>Pass</v>
      </c>
      <c r="AK27" s="22" t="str">
        <f t="shared" si="6"/>
        <v>Pass</v>
      </c>
      <c r="AL27" s="22" t="str">
        <f t="shared" si="6"/>
        <v>Pass</v>
      </c>
      <c r="AM27" s="22" t="str">
        <f t="shared" si="7"/>
        <v>Pass</v>
      </c>
      <c r="AN27" s="22" t="str">
        <f t="shared" si="4"/>
        <v>Pass</v>
      </c>
      <c r="AO27" s="22" t="str">
        <f t="shared" si="4"/>
        <v>Pass</v>
      </c>
      <c r="AP27" s="22" t="str">
        <f t="shared" si="4"/>
        <v>Pass</v>
      </c>
      <c r="AQ27" s="22" t="str">
        <f t="shared" si="4"/>
        <v>Pass</v>
      </c>
      <c r="AR27" s="22" t="str">
        <f t="shared" si="4"/>
        <v>Pass</v>
      </c>
      <c r="AS27" s="22" t="str">
        <f t="shared" si="8"/>
        <v>Pass</v>
      </c>
      <c r="AT27" s="22" t="str">
        <f t="shared" si="8"/>
        <v>Pass</v>
      </c>
      <c r="AU27" s="22" t="str">
        <f t="shared" si="8"/>
        <v>Pass</v>
      </c>
      <c r="AV27" s="22" t="str">
        <f t="shared" si="8"/>
        <v>Pass</v>
      </c>
      <c r="AW27" s="22" t="str">
        <f t="shared" si="8"/>
        <v>Pass</v>
      </c>
      <c r="AX27" s="22" t="str">
        <f t="shared" si="8"/>
        <v>Pass</v>
      </c>
      <c r="AY27" s="22" t="str">
        <f t="shared" si="8"/>
        <v>Pass</v>
      </c>
      <c r="AZ27" s="22" t="str">
        <f t="shared" si="8"/>
        <v>Pass</v>
      </c>
      <c r="BA27" s="22" t="str">
        <f t="shared" si="8"/>
        <v>Pass</v>
      </c>
      <c r="BB27" s="22" t="str">
        <f t="shared" si="8"/>
        <v>Pass</v>
      </c>
      <c r="BC27" s="22" t="str">
        <f t="shared" si="8"/>
        <v>Pass</v>
      </c>
      <c r="BD27" s="22" t="str">
        <f t="shared" si="8"/>
        <v>Pass</v>
      </c>
    </row>
    <row r="28" spans="2:56" ht="15.75" customHeight="1">
      <c r="F28" s="21"/>
      <c r="G28" s="13">
        <f t="shared" si="10"/>
        <v>16</v>
      </c>
      <c r="H28" s="22" t="str">
        <f t="shared" si="9"/>
        <v>Fail</v>
      </c>
      <c r="I28" s="22" t="str">
        <f t="shared" si="9"/>
        <v>Fail</v>
      </c>
      <c r="J28" s="22" t="str">
        <f t="shared" si="9"/>
        <v>Fail</v>
      </c>
      <c r="K28" s="22" t="str">
        <f t="shared" si="9"/>
        <v>Fail</v>
      </c>
      <c r="L28" s="22" t="str">
        <f t="shared" si="9"/>
        <v>Fail</v>
      </c>
      <c r="M28" s="22" t="str">
        <f t="shared" si="9"/>
        <v>Fail</v>
      </c>
      <c r="N28" s="22" t="str">
        <f t="shared" si="9"/>
        <v>Fail</v>
      </c>
      <c r="O28" s="22" t="str">
        <f t="shared" si="9"/>
        <v>Fail</v>
      </c>
      <c r="P28" s="22" t="str">
        <f t="shared" si="9"/>
        <v>Fail</v>
      </c>
      <c r="Q28" s="22" t="str">
        <f t="shared" si="9"/>
        <v>Fail</v>
      </c>
      <c r="R28" s="22" t="str">
        <f t="shared" si="9"/>
        <v>Fail</v>
      </c>
      <c r="S28" s="22" t="str">
        <f t="shared" si="9"/>
        <v>Pass</v>
      </c>
      <c r="T28" s="22" t="str">
        <f t="shared" si="9"/>
        <v>Pass</v>
      </c>
      <c r="U28" s="22" t="str">
        <f t="shared" si="9"/>
        <v>Pass</v>
      </c>
      <c r="V28" s="22" t="str">
        <f t="shared" si="9"/>
        <v>Pass</v>
      </c>
      <c r="W28" s="22" t="str">
        <f t="shared" si="6"/>
        <v>Pass</v>
      </c>
      <c r="X28" s="22" t="str">
        <f t="shared" si="6"/>
        <v>Pass</v>
      </c>
      <c r="Y28" s="22" t="str">
        <f t="shared" si="6"/>
        <v>Pass</v>
      </c>
      <c r="Z28" s="22" t="str">
        <f t="shared" si="6"/>
        <v>Pass</v>
      </c>
      <c r="AA28" s="22" t="str">
        <f t="shared" si="6"/>
        <v>Pass</v>
      </c>
      <c r="AB28" s="22" t="str">
        <f t="shared" si="6"/>
        <v>Pass</v>
      </c>
      <c r="AC28" s="22" t="str">
        <f t="shared" si="6"/>
        <v>Pass</v>
      </c>
      <c r="AD28" s="22" t="str">
        <f t="shared" si="6"/>
        <v>Pass</v>
      </c>
      <c r="AE28" s="26" t="str">
        <f t="shared" si="6"/>
        <v>Pass</v>
      </c>
      <c r="AF28" s="27" t="str">
        <f t="shared" si="6"/>
        <v>Pass</v>
      </c>
      <c r="AG28" s="25" t="str">
        <f t="shared" si="6"/>
        <v>Pass</v>
      </c>
      <c r="AH28" s="22" t="str">
        <f t="shared" si="6"/>
        <v>Pass</v>
      </c>
      <c r="AI28" s="22" t="str">
        <f t="shared" si="6"/>
        <v>Pass</v>
      </c>
      <c r="AJ28" s="22" t="str">
        <f t="shared" si="6"/>
        <v>Pass</v>
      </c>
      <c r="AK28" s="22" t="str">
        <f t="shared" si="6"/>
        <v>Pass</v>
      </c>
      <c r="AL28" s="22" t="str">
        <f t="shared" si="6"/>
        <v>Pass</v>
      </c>
      <c r="AM28" s="22" t="str">
        <f t="shared" si="7"/>
        <v>Pass</v>
      </c>
      <c r="AN28" s="22" t="str">
        <f t="shared" si="4"/>
        <v>Pass</v>
      </c>
      <c r="AO28" s="22" t="str">
        <f t="shared" si="4"/>
        <v>Pass</v>
      </c>
      <c r="AP28" s="22" t="str">
        <f t="shared" si="4"/>
        <v>Pass</v>
      </c>
      <c r="AQ28" s="22" t="str">
        <f t="shared" si="4"/>
        <v>Pass</v>
      </c>
      <c r="AR28" s="22" t="str">
        <f t="shared" si="4"/>
        <v>Pass</v>
      </c>
      <c r="AS28" s="22" t="str">
        <f t="shared" si="8"/>
        <v>Pass</v>
      </c>
      <c r="AT28" s="22" t="str">
        <f t="shared" si="8"/>
        <v>Pass</v>
      </c>
      <c r="AU28" s="22" t="str">
        <f t="shared" si="8"/>
        <v>Pass</v>
      </c>
      <c r="AV28" s="22" t="str">
        <f t="shared" si="8"/>
        <v>Pass</v>
      </c>
      <c r="AW28" s="22" t="str">
        <f t="shared" si="8"/>
        <v>Pass</v>
      </c>
      <c r="AX28" s="22" t="str">
        <f t="shared" si="8"/>
        <v>Pass</v>
      </c>
      <c r="AY28" s="22" t="str">
        <f t="shared" si="8"/>
        <v>Pass</v>
      </c>
      <c r="AZ28" s="22" t="str">
        <f t="shared" si="8"/>
        <v>Pass</v>
      </c>
      <c r="BA28" s="22" t="str">
        <f t="shared" si="8"/>
        <v>Pass</v>
      </c>
      <c r="BB28" s="22" t="str">
        <f t="shared" si="8"/>
        <v>Pass</v>
      </c>
      <c r="BC28" s="22" t="str">
        <f t="shared" si="8"/>
        <v>Pass</v>
      </c>
      <c r="BD28" s="22" t="str">
        <f t="shared" si="8"/>
        <v>Pass</v>
      </c>
    </row>
    <row r="29" spans="2:56" ht="15.75" customHeight="1">
      <c r="F29" s="21"/>
      <c r="G29" s="13">
        <f t="shared" si="10"/>
        <v>17</v>
      </c>
      <c r="H29" s="22" t="str">
        <f t="shared" si="9"/>
        <v>Fail</v>
      </c>
      <c r="I29" s="22" t="str">
        <f t="shared" si="9"/>
        <v>Fail</v>
      </c>
      <c r="J29" s="22" t="str">
        <f t="shared" si="9"/>
        <v>Fail</v>
      </c>
      <c r="K29" s="22" t="str">
        <f t="shared" si="9"/>
        <v>Fail</v>
      </c>
      <c r="L29" s="22" t="str">
        <f t="shared" si="9"/>
        <v>Fail</v>
      </c>
      <c r="M29" s="22" t="str">
        <f t="shared" si="9"/>
        <v>Fail</v>
      </c>
      <c r="N29" s="22" t="str">
        <f t="shared" si="9"/>
        <v>Fail</v>
      </c>
      <c r="O29" s="22" t="str">
        <f t="shared" si="9"/>
        <v>Fail</v>
      </c>
      <c r="P29" s="22" t="str">
        <f t="shared" si="9"/>
        <v>Fail</v>
      </c>
      <c r="Q29" s="22" t="str">
        <f t="shared" si="9"/>
        <v>Fail</v>
      </c>
      <c r="R29" s="22" t="str">
        <f t="shared" si="9"/>
        <v>Fail</v>
      </c>
      <c r="S29" s="22" t="str">
        <f t="shared" si="9"/>
        <v>Fail</v>
      </c>
      <c r="T29" s="22" t="str">
        <f t="shared" si="9"/>
        <v>Pass</v>
      </c>
      <c r="U29" s="22" t="str">
        <f t="shared" si="9"/>
        <v>Pass</v>
      </c>
      <c r="V29" s="22" t="str">
        <f t="shared" si="9"/>
        <v>Pass</v>
      </c>
      <c r="W29" s="22" t="str">
        <f t="shared" si="6"/>
        <v>Pass</v>
      </c>
      <c r="X29" s="22" t="str">
        <f t="shared" si="6"/>
        <v>Pass</v>
      </c>
      <c r="Y29" s="22" t="str">
        <f t="shared" si="6"/>
        <v>Pass</v>
      </c>
      <c r="Z29" s="22" t="str">
        <f t="shared" si="6"/>
        <v>Pass</v>
      </c>
      <c r="AA29" s="22" t="str">
        <f t="shared" si="6"/>
        <v>Pass</v>
      </c>
      <c r="AB29" s="22" t="str">
        <f t="shared" si="6"/>
        <v>Pass</v>
      </c>
      <c r="AC29" s="22" t="str">
        <f t="shared" si="6"/>
        <v>Pass</v>
      </c>
      <c r="AD29" s="22" t="str">
        <f t="shared" si="6"/>
        <v>Pass</v>
      </c>
      <c r="AE29" s="22" t="str">
        <f t="shared" si="6"/>
        <v>Pass</v>
      </c>
      <c r="AF29" s="26" t="str">
        <f t="shared" si="6"/>
        <v>Pass</v>
      </c>
      <c r="AG29" s="27" t="str">
        <f t="shared" si="6"/>
        <v>Pass</v>
      </c>
      <c r="AH29" s="25" t="str">
        <f t="shared" si="6"/>
        <v>Pass</v>
      </c>
      <c r="AI29" s="22" t="str">
        <f t="shared" si="6"/>
        <v>Pass</v>
      </c>
      <c r="AJ29" s="22" t="str">
        <f t="shared" si="6"/>
        <v>Pass</v>
      </c>
      <c r="AK29" s="22" t="str">
        <f t="shared" si="6"/>
        <v>Pass</v>
      </c>
      <c r="AL29" s="22" t="str">
        <f t="shared" si="6"/>
        <v>Pass</v>
      </c>
      <c r="AM29" s="22" t="str">
        <f t="shared" si="7"/>
        <v>Pass</v>
      </c>
      <c r="AN29" s="22" t="str">
        <f t="shared" si="4"/>
        <v>Pass</v>
      </c>
      <c r="AO29" s="22" t="str">
        <f t="shared" si="4"/>
        <v>Pass</v>
      </c>
      <c r="AP29" s="22" t="str">
        <f t="shared" si="4"/>
        <v>Pass</v>
      </c>
      <c r="AQ29" s="22" t="str">
        <f t="shared" si="4"/>
        <v>Pass</v>
      </c>
      <c r="AR29" s="22" t="str">
        <f t="shared" si="4"/>
        <v>Pass</v>
      </c>
      <c r="AS29" s="22" t="str">
        <f t="shared" si="8"/>
        <v>Pass</v>
      </c>
      <c r="AT29" s="22" t="str">
        <f t="shared" si="8"/>
        <v>Pass</v>
      </c>
      <c r="AU29" s="22" t="str">
        <f t="shared" si="8"/>
        <v>Pass</v>
      </c>
      <c r="AV29" s="22" t="str">
        <f t="shared" si="8"/>
        <v>Pass</v>
      </c>
      <c r="AW29" s="22" t="str">
        <f t="shared" si="8"/>
        <v>Pass</v>
      </c>
      <c r="AX29" s="22" t="str">
        <f t="shared" si="8"/>
        <v>Pass</v>
      </c>
      <c r="AY29" s="22" t="str">
        <f t="shared" si="8"/>
        <v>Pass</v>
      </c>
      <c r="AZ29" s="22" t="str">
        <f t="shared" si="8"/>
        <v>Pass</v>
      </c>
      <c r="BA29" s="22" t="str">
        <f t="shared" si="8"/>
        <v>Pass</v>
      </c>
      <c r="BB29" s="22" t="str">
        <f t="shared" si="8"/>
        <v>Pass</v>
      </c>
      <c r="BC29" s="22" t="str">
        <f t="shared" si="8"/>
        <v>Pass</v>
      </c>
      <c r="BD29" s="22" t="str">
        <f t="shared" si="8"/>
        <v>Pass</v>
      </c>
    </row>
    <row r="30" spans="2:56" ht="15.75" customHeight="1">
      <c r="F30" s="21"/>
      <c r="G30" s="13">
        <f t="shared" si="10"/>
        <v>18</v>
      </c>
      <c r="H30" s="22" t="str">
        <f t="shared" si="9"/>
        <v>Fail</v>
      </c>
      <c r="I30" s="22" t="str">
        <f t="shared" si="9"/>
        <v>Fail</v>
      </c>
      <c r="J30" s="22" t="str">
        <f t="shared" si="9"/>
        <v>Fail</v>
      </c>
      <c r="K30" s="22" t="str">
        <f t="shared" si="9"/>
        <v>Fail</v>
      </c>
      <c r="L30" s="22" t="str">
        <f t="shared" si="9"/>
        <v>Fail</v>
      </c>
      <c r="M30" s="22" t="str">
        <f t="shared" si="9"/>
        <v>Fail</v>
      </c>
      <c r="N30" s="22" t="str">
        <f t="shared" si="9"/>
        <v>Fail</v>
      </c>
      <c r="O30" s="22" t="str">
        <f t="shared" si="9"/>
        <v>Fail</v>
      </c>
      <c r="P30" s="22" t="str">
        <f t="shared" si="9"/>
        <v>Fail</v>
      </c>
      <c r="Q30" s="22" t="str">
        <f t="shared" si="9"/>
        <v>Fail</v>
      </c>
      <c r="R30" s="22" t="str">
        <f t="shared" si="9"/>
        <v>Fail</v>
      </c>
      <c r="S30" s="22" t="str">
        <f t="shared" si="9"/>
        <v>Fail</v>
      </c>
      <c r="T30" s="22" t="str">
        <f t="shared" si="9"/>
        <v>Pass</v>
      </c>
      <c r="U30" s="22" t="str">
        <f t="shared" si="9"/>
        <v>Pass</v>
      </c>
      <c r="V30" s="22" t="str">
        <f t="shared" si="9"/>
        <v>Pass</v>
      </c>
      <c r="W30" s="22" t="str">
        <f t="shared" si="6"/>
        <v>Pass</v>
      </c>
      <c r="X30" s="22" t="str">
        <f t="shared" si="6"/>
        <v>Pass</v>
      </c>
      <c r="Y30" s="22" t="str">
        <f t="shared" si="6"/>
        <v>Pass</v>
      </c>
      <c r="Z30" s="22" t="str">
        <f t="shared" si="6"/>
        <v>Pass</v>
      </c>
      <c r="AA30" s="22" t="str">
        <f t="shared" si="6"/>
        <v>Pass</v>
      </c>
      <c r="AB30" s="22" t="str">
        <f t="shared" si="6"/>
        <v>Pass</v>
      </c>
      <c r="AC30" s="22" t="str">
        <f t="shared" si="6"/>
        <v>Pass</v>
      </c>
      <c r="AD30" s="22" t="str">
        <f t="shared" si="6"/>
        <v>Pass</v>
      </c>
      <c r="AE30" s="22" t="str">
        <f t="shared" si="6"/>
        <v>Pass</v>
      </c>
      <c r="AF30" s="22" t="str">
        <f t="shared" si="6"/>
        <v>Pass</v>
      </c>
      <c r="AG30" s="26" t="str">
        <f t="shared" si="6"/>
        <v>Pass</v>
      </c>
      <c r="AH30" s="27" t="str">
        <f t="shared" si="6"/>
        <v>Pass</v>
      </c>
      <c r="AI30" s="25" t="str">
        <f t="shared" si="6"/>
        <v>Pass</v>
      </c>
      <c r="AJ30" s="22" t="str">
        <f t="shared" si="6"/>
        <v>Pass</v>
      </c>
      <c r="AK30" s="22" t="str">
        <f t="shared" si="6"/>
        <v>Pass</v>
      </c>
      <c r="AL30" s="22" t="str">
        <f t="shared" si="6"/>
        <v>Pass</v>
      </c>
      <c r="AM30" s="22" t="str">
        <f t="shared" si="7"/>
        <v>Pass</v>
      </c>
      <c r="AN30" s="22" t="str">
        <f t="shared" si="4"/>
        <v>Pass</v>
      </c>
      <c r="AO30" s="22" t="str">
        <f t="shared" si="4"/>
        <v>Pass</v>
      </c>
      <c r="AP30" s="22" t="str">
        <f t="shared" si="4"/>
        <v>Pass</v>
      </c>
      <c r="AQ30" s="22" t="str">
        <f t="shared" si="4"/>
        <v>Pass</v>
      </c>
      <c r="AR30" s="22" t="str">
        <f t="shared" si="4"/>
        <v>Pass</v>
      </c>
      <c r="AS30" s="22" t="str">
        <f t="shared" si="8"/>
        <v>Pass</v>
      </c>
      <c r="AT30" s="22" t="str">
        <f t="shared" si="8"/>
        <v>Pass</v>
      </c>
      <c r="AU30" s="22" t="str">
        <f t="shared" si="8"/>
        <v>Pass</v>
      </c>
      <c r="AV30" s="22" t="str">
        <f t="shared" si="8"/>
        <v>Pass</v>
      </c>
      <c r="AW30" s="22" t="str">
        <f t="shared" si="8"/>
        <v>Pass</v>
      </c>
      <c r="AX30" s="22" t="str">
        <f t="shared" si="8"/>
        <v>Pass</v>
      </c>
      <c r="AY30" s="22" t="str">
        <f t="shared" si="8"/>
        <v>Pass</v>
      </c>
      <c r="AZ30" s="22" t="str">
        <f t="shared" si="8"/>
        <v>Pass</v>
      </c>
      <c r="BA30" s="22" t="str">
        <f t="shared" si="8"/>
        <v>Pass</v>
      </c>
      <c r="BB30" s="22" t="str">
        <f t="shared" si="8"/>
        <v>Pass</v>
      </c>
      <c r="BC30" s="22" t="str">
        <f t="shared" si="8"/>
        <v>Pass</v>
      </c>
      <c r="BD30" s="22" t="str">
        <f t="shared" si="8"/>
        <v>Pass</v>
      </c>
    </row>
    <row r="31" spans="2:56" ht="15.75" customHeight="1">
      <c r="F31" s="21"/>
      <c r="G31" s="13">
        <f t="shared" si="10"/>
        <v>19</v>
      </c>
      <c r="H31" s="22" t="str">
        <f t="shared" si="9"/>
        <v>Fail</v>
      </c>
      <c r="I31" s="22" t="str">
        <f t="shared" si="9"/>
        <v>Fail</v>
      </c>
      <c r="J31" s="22" t="str">
        <f t="shared" si="9"/>
        <v>Fail</v>
      </c>
      <c r="K31" s="22" t="str">
        <f t="shared" si="9"/>
        <v>Fail</v>
      </c>
      <c r="L31" s="22" t="str">
        <f t="shared" si="9"/>
        <v>Fail</v>
      </c>
      <c r="M31" s="22" t="str">
        <f t="shared" si="9"/>
        <v>Fail</v>
      </c>
      <c r="N31" s="22" t="str">
        <f t="shared" si="9"/>
        <v>Fail</v>
      </c>
      <c r="O31" s="22" t="str">
        <f t="shared" si="9"/>
        <v>Fail</v>
      </c>
      <c r="P31" s="22" t="str">
        <f t="shared" si="9"/>
        <v>Fail</v>
      </c>
      <c r="Q31" s="22" t="str">
        <f t="shared" si="9"/>
        <v>Fail</v>
      </c>
      <c r="R31" s="22" t="str">
        <f t="shared" si="9"/>
        <v>Fail</v>
      </c>
      <c r="S31" s="22" t="str">
        <f t="shared" si="9"/>
        <v>Fail</v>
      </c>
      <c r="T31" s="22" t="str">
        <f t="shared" si="9"/>
        <v>Fail</v>
      </c>
      <c r="U31" s="22" t="str">
        <f t="shared" si="9"/>
        <v>Pass</v>
      </c>
      <c r="V31" s="22" t="str">
        <f t="shared" si="9"/>
        <v>Pass</v>
      </c>
      <c r="W31" s="22" t="str">
        <f t="shared" si="6"/>
        <v>Pass</v>
      </c>
      <c r="X31" s="22" t="str">
        <f t="shared" si="6"/>
        <v>Pass</v>
      </c>
      <c r="Y31" s="22" t="str">
        <f t="shared" si="6"/>
        <v>Pass</v>
      </c>
      <c r="Z31" s="22" t="str">
        <f t="shared" si="6"/>
        <v>Pass</v>
      </c>
      <c r="AA31" s="22" t="str">
        <f t="shared" si="6"/>
        <v>Pass</v>
      </c>
      <c r="AB31" s="22" t="str">
        <f t="shared" si="6"/>
        <v>Pass</v>
      </c>
      <c r="AC31" s="22" t="str">
        <f t="shared" si="6"/>
        <v>Pass</v>
      </c>
      <c r="AD31" s="22" t="str">
        <f t="shared" si="6"/>
        <v>Pass</v>
      </c>
      <c r="AE31" s="22" t="str">
        <f t="shared" si="6"/>
        <v>Pass</v>
      </c>
      <c r="AF31" s="22" t="str">
        <f t="shared" si="6"/>
        <v>Pass</v>
      </c>
      <c r="AG31" s="22" t="str">
        <f t="shared" si="6"/>
        <v>Pass</v>
      </c>
      <c r="AH31" s="26" t="str">
        <f t="shared" si="6"/>
        <v>Pass</v>
      </c>
      <c r="AI31" s="27" t="str">
        <f t="shared" si="6"/>
        <v>Pass</v>
      </c>
      <c r="AJ31" s="25" t="str">
        <f t="shared" si="6"/>
        <v>Pass</v>
      </c>
      <c r="AK31" s="22" t="str">
        <f t="shared" si="6"/>
        <v>Pass</v>
      </c>
      <c r="AL31" s="22" t="str">
        <f t="shared" si="6"/>
        <v>Pass</v>
      </c>
      <c r="AM31" s="22" t="str">
        <f t="shared" si="7"/>
        <v>Pass</v>
      </c>
      <c r="AN31" s="22" t="str">
        <f t="shared" si="4"/>
        <v>Pass</v>
      </c>
      <c r="AO31" s="22" t="str">
        <f t="shared" si="4"/>
        <v>Pass</v>
      </c>
      <c r="AP31" s="22" t="str">
        <f t="shared" si="4"/>
        <v>Pass</v>
      </c>
      <c r="AQ31" s="22" t="str">
        <f t="shared" si="4"/>
        <v>Pass</v>
      </c>
      <c r="AR31" s="22" t="str">
        <f t="shared" si="4"/>
        <v>Pass</v>
      </c>
      <c r="AS31" s="22" t="str">
        <f t="shared" si="8"/>
        <v>Pass</v>
      </c>
      <c r="AT31" s="22" t="str">
        <f t="shared" si="8"/>
        <v>Pass</v>
      </c>
      <c r="AU31" s="22" t="str">
        <f t="shared" si="8"/>
        <v>Pass</v>
      </c>
      <c r="AV31" s="22" t="str">
        <f t="shared" si="8"/>
        <v>Pass</v>
      </c>
      <c r="AW31" s="22" t="str">
        <f t="shared" si="8"/>
        <v>Pass</v>
      </c>
      <c r="AX31" s="22" t="str">
        <f t="shared" si="8"/>
        <v>Pass</v>
      </c>
      <c r="AY31" s="22" t="str">
        <f t="shared" si="8"/>
        <v>Pass</v>
      </c>
      <c r="AZ31" s="22" t="str">
        <f t="shared" si="8"/>
        <v>Pass</v>
      </c>
      <c r="BA31" s="22" t="str">
        <f t="shared" si="8"/>
        <v>Pass</v>
      </c>
      <c r="BB31" s="22" t="str">
        <f t="shared" si="8"/>
        <v>Pass</v>
      </c>
      <c r="BC31" s="22" t="str">
        <f t="shared" si="8"/>
        <v>Pass</v>
      </c>
      <c r="BD31" s="22" t="str">
        <f t="shared" si="8"/>
        <v>Pass</v>
      </c>
    </row>
    <row r="32" spans="2:56" ht="15.75" customHeight="1">
      <c r="F32" s="21"/>
      <c r="G32" s="13">
        <f t="shared" si="10"/>
        <v>20</v>
      </c>
      <c r="H32" s="22" t="str">
        <f t="shared" si="9"/>
        <v>Fail</v>
      </c>
      <c r="I32" s="22" t="str">
        <f t="shared" si="9"/>
        <v>Fail</v>
      </c>
      <c r="J32" s="22" t="str">
        <f t="shared" si="9"/>
        <v>Fail</v>
      </c>
      <c r="K32" s="22" t="str">
        <f t="shared" si="9"/>
        <v>Fail</v>
      </c>
      <c r="L32" s="22" t="str">
        <f t="shared" si="9"/>
        <v>Fail</v>
      </c>
      <c r="M32" s="22" t="str">
        <f t="shared" si="9"/>
        <v>Fail</v>
      </c>
      <c r="N32" s="22" t="str">
        <f t="shared" si="9"/>
        <v>Fail</v>
      </c>
      <c r="O32" s="22" t="str">
        <f t="shared" si="9"/>
        <v>Fail</v>
      </c>
      <c r="P32" s="22" t="str">
        <f t="shared" si="9"/>
        <v>Fail</v>
      </c>
      <c r="Q32" s="22" t="str">
        <f t="shared" si="9"/>
        <v>Fail</v>
      </c>
      <c r="R32" s="22" t="str">
        <f t="shared" si="9"/>
        <v>Fail</v>
      </c>
      <c r="S32" s="22" t="str">
        <f t="shared" si="9"/>
        <v>Fail</v>
      </c>
      <c r="T32" s="22" t="str">
        <f t="shared" si="9"/>
        <v>Fail</v>
      </c>
      <c r="U32" s="22" t="str">
        <f t="shared" si="9"/>
        <v>Pass</v>
      </c>
      <c r="V32" s="22" t="str">
        <f t="shared" si="9"/>
        <v>Pass</v>
      </c>
      <c r="W32" s="22" t="str">
        <f t="shared" si="6"/>
        <v>Pass</v>
      </c>
      <c r="X32" s="22" t="str">
        <f t="shared" si="6"/>
        <v>Pass</v>
      </c>
      <c r="Y32" s="22" t="str">
        <f t="shared" si="6"/>
        <v>Pass</v>
      </c>
      <c r="Z32" s="22" t="str">
        <f t="shared" si="6"/>
        <v>Pass</v>
      </c>
      <c r="AA32" s="22" t="str">
        <f t="shared" si="6"/>
        <v>Pass</v>
      </c>
      <c r="AB32" s="22" t="str">
        <f t="shared" si="6"/>
        <v>Pass</v>
      </c>
      <c r="AC32" s="22" t="str">
        <f t="shared" si="6"/>
        <v>Pass</v>
      </c>
      <c r="AD32" s="22" t="str">
        <f t="shared" si="6"/>
        <v>Pass</v>
      </c>
      <c r="AE32" s="22" t="str">
        <f t="shared" si="6"/>
        <v>Pass</v>
      </c>
      <c r="AF32" s="22" t="str">
        <f t="shared" si="6"/>
        <v>Pass</v>
      </c>
      <c r="AG32" s="22" t="str">
        <f t="shared" si="6"/>
        <v>Pass</v>
      </c>
      <c r="AH32" s="22" t="str">
        <f t="shared" si="6"/>
        <v>Pass</v>
      </c>
      <c r="AI32" s="26" t="str">
        <f t="shared" si="6"/>
        <v>Pass</v>
      </c>
      <c r="AJ32" s="27" t="str">
        <f t="shared" si="6"/>
        <v>Pass</v>
      </c>
      <c r="AK32" s="25" t="str">
        <f t="shared" si="6"/>
        <v>Pass</v>
      </c>
      <c r="AL32" s="22" t="str">
        <f t="shared" si="6"/>
        <v>Pass</v>
      </c>
      <c r="AM32" s="22" t="str">
        <f t="shared" si="7"/>
        <v>Pass</v>
      </c>
      <c r="AN32" s="22" t="str">
        <f t="shared" si="4"/>
        <v>Pass</v>
      </c>
      <c r="AO32" s="22" t="str">
        <f t="shared" si="4"/>
        <v>Pass</v>
      </c>
      <c r="AP32" s="22" t="str">
        <f t="shared" si="4"/>
        <v>Pass</v>
      </c>
      <c r="AQ32" s="22" t="str">
        <f t="shared" si="4"/>
        <v>Pass</v>
      </c>
      <c r="AR32" s="22" t="str">
        <f t="shared" si="4"/>
        <v>Pass</v>
      </c>
      <c r="AS32" s="22" t="str">
        <f t="shared" si="8"/>
        <v>Pass</v>
      </c>
      <c r="AT32" s="22" t="str">
        <f t="shared" si="8"/>
        <v>Pass</v>
      </c>
      <c r="AU32" s="22" t="str">
        <f t="shared" si="8"/>
        <v>Pass</v>
      </c>
      <c r="AV32" s="22" t="str">
        <f t="shared" si="8"/>
        <v>Pass</v>
      </c>
      <c r="AW32" s="22" t="str">
        <f t="shared" si="8"/>
        <v>Pass</v>
      </c>
      <c r="AX32" s="22" t="str">
        <f t="shared" si="8"/>
        <v>Pass</v>
      </c>
      <c r="AY32" s="22" t="str">
        <f t="shared" si="8"/>
        <v>Pass</v>
      </c>
      <c r="AZ32" s="22" t="str">
        <f t="shared" si="8"/>
        <v>Pass</v>
      </c>
      <c r="BA32" s="22" t="str">
        <f t="shared" si="8"/>
        <v>Pass</v>
      </c>
      <c r="BB32" s="22" t="str">
        <f t="shared" si="8"/>
        <v>Pass</v>
      </c>
      <c r="BC32" s="22" t="str">
        <f t="shared" si="8"/>
        <v>Pass</v>
      </c>
      <c r="BD32" s="22" t="str">
        <f t="shared" si="8"/>
        <v>Pass</v>
      </c>
    </row>
    <row r="33" spans="6:56" ht="15.75" customHeight="1">
      <c r="F33" s="21"/>
      <c r="G33" s="13">
        <f t="shared" si="10"/>
        <v>21</v>
      </c>
      <c r="H33" s="22" t="str">
        <f t="shared" si="9"/>
        <v>Fail</v>
      </c>
      <c r="I33" s="22" t="str">
        <f t="shared" si="9"/>
        <v>Fail</v>
      </c>
      <c r="J33" s="22" t="str">
        <f t="shared" si="9"/>
        <v>Fail</v>
      </c>
      <c r="K33" s="22" t="str">
        <f t="shared" si="9"/>
        <v>Fail</v>
      </c>
      <c r="L33" s="22" t="str">
        <f t="shared" si="9"/>
        <v>Fail</v>
      </c>
      <c r="M33" s="22" t="str">
        <f t="shared" si="9"/>
        <v>Fail</v>
      </c>
      <c r="N33" s="22" t="str">
        <f t="shared" si="9"/>
        <v>Fail</v>
      </c>
      <c r="O33" s="22" t="str">
        <f t="shared" si="9"/>
        <v>Fail</v>
      </c>
      <c r="P33" s="22" t="str">
        <f t="shared" si="9"/>
        <v>Fail</v>
      </c>
      <c r="Q33" s="22" t="str">
        <f t="shared" si="9"/>
        <v>Fail</v>
      </c>
      <c r="R33" s="22" t="str">
        <f t="shared" si="9"/>
        <v>Fail</v>
      </c>
      <c r="S33" s="22" t="str">
        <f t="shared" si="9"/>
        <v>Fail</v>
      </c>
      <c r="T33" s="22" t="str">
        <f t="shared" si="9"/>
        <v>Fail</v>
      </c>
      <c r="U33" s="22" t="str">
        <f t="shared" si="9"/>
        <v>Fail</v>
      </c>
      <c r="V33" s="22" t="str">
        <f t="shared" si="9"/>
        <v>Pass</v>
      </c>
      <c r="W33" s="22" t="str">
        <f t="shared" si="6"/>
        <v>Pass</v>
      </c>
      <c r="X33" s="22" t="str">
        <f t="shared" si="6"/>
        <v>Pass</v>
      </c>
      <c r="Y33" s="22" t="str">
        <f t="shared" si="6"/>
        <v>Pass</v>
      </c>
      <c r="Z33" s="22" t="str">
        <f t="shared" si="6"/>
        <v>Pass</v>
      </c>
      <c r="AA33" s="22" t="str">
        <f t="shared" si="6"/>
        <v>Pass</v>
      </c>
      <c r="AB33" s="22" t="str">
        <f t="shared" si="6"/>
        <v>Pass</v>
      </c>
      <c r="AC33" s="22" t="str">
        <f t="shared" si="6"/>
        <v>Pass</v>
      </c>
      <c r="AD33" s="22" t="str">
        <f t="shared" si="6"/>
        <v>Pass</v>
      </c>
      <c r="AE33" s="22" t="str">
        <f t="shared" si="6"/>
        <v>Pass</v>
      </c>
      <c r="AF33" s="22" t="str">
        <f t="shared" si="6"/>
        <v>Pass</v>
      </c>
      <c r="AG33" s="22" t="str">
        <f t="shared" si="6"/>
        <v>Pass</v>
      </c>
      <c r="AH33" s="22" t="str">
        <f t="shared" si="6"/>
        <v>Pass</v>
      </c>
      <c r="AI33" s="22" t="str">
        <f t="shared" si="6"/>
        <v>Pass</v>
      </c>
      <c r="AJ33" s="26" t="str">
        <f t="shared" si="6"/>
        <v>Pass</v>
      </c>
      <c r="AK33" s="27" t="str">
        <f t="shared" si="6"/>
        <v>Pass</v>
      </c>
      <c r="AL33" s="25" t="str">
        <f t="shared" si="6"/>
        <v>Pass</v>
      </c>
      <c r="AM33" s="22" t="str">
        <f t="shared" si="7"/>
        <v>Pass</v>
      </c>
      <c r="AN33" s="22" t="str">
        <f t="shared" si="4"/>
        <v>Pass</v>
      </c>
      <c r="AO33" s="22" t="str">
        <f t="shared" si="4"/>
        <v>Pass</v>
      </c>
      <c r="AP33" s="22" t="str">
        <f t="shared" si="4"/>
        <v>Pass</v>
      </c>
      <c r="AQ33" s="22" t="str">
        <f t="shared" si="4"/>
        <v>Pass</v>
      </c>
      <c r="AR33" s="22" t="str">
        <f t="shared" si="4"/>
        <v>Pass</v>
      </c>
      <c r="AS33" s="22" t="str">
        <f t="shared" si="8"/>
        <v>Pass</v>
      </c>
      <c r="AT33" s="22" t="str">
        <f t="shared" si="8"/>
        <v>Pass</v>
      </c>
      <c r="AU33" s="22" t="str">
        <f t="shared" si="8"/>
        <v>Pass</v>
      </c>
      <c r="AV33" s="22" t="str">
        <f t="shared" si="8"/>
        <v>Pass</v>
      </c>
      <c r="AW33" s="22" t="str">
        <f t="shared" si="8"/>
        <v>Pass</v>
      </c>
      <c r="AX33" s="22" t="str">
        <f t="shared" si="8"/>
        <v>Pass</v>
      </c>
      <c r="AY33" s="22" t="str">
        <f t="shared" si="8"/>
        <v>Pass</v>
      </c>
      <c r="AZ33" s="22" t="str">
        <f t="shared" si="8"/>
        <v>Pass</v>
      </c>
      <c r="BA33" s="22" t="str">
        <f t="shared" si="8"/>
        <v>Pass</v>
      </c>
      <c r="BB33" s="22" t="str">
        <f t="shared" si="8"/>
        <v>Pass</v>
      </c>
      <c r="BC33" s="22" t="str">
        <f t="shared" si="8"/>
        <v>Pass</v>
      </c>
      <c r="BD33" s="22" t="str">
        <f t="shared" si="8"/>
        <v>Pass</v>
      </c>
    </row>
    <row r="34" spans="6:56" ht="15.75" customHeight="1">
      <c r="F34" s="21"/>
      <c r="G34" s="13">
        <f t="shared" si="10"/>
        <v>22</v>
      </c>
      <c r="H34" s="22" t="str">
        <f t="shared" si="9"/>
        <v>Fail</v>
      </c>
      <c r="I34" s="22" t="str">
        <f t="shared" si="9"/>
        <v>Fail</v>
      </c>
      <c r="J34" s="22" t="str">
        <f t="shared" si="9"/>
        <v>Fail</v>
      </c>
      <c r="K34" s="22" t="str">
        <f t="shared" si="9"/>
        <v>Fail</v>
      </c>
      <c r="L34" s="22" t="str">
        <f t="shared" si="9"/>
        <v>Fail</v>
      </c>
      <c r="M34" s="22" t="str">
        <f t="shared" si="9"/>
        <v>Fail</v>
      </c>
      <c r="N34" s="22" t="str">
        <f t="shared" si="9"/>
        <v>Fail</v>
      </c>
      <c r="O34" s="22" t="str">
        <f t="shared" si="9"/>
        <v>Fail</v>
      </c>
      <c r="P34" s="22" t="str">
        <f t="shared" si="9"/>
        <v>Fail</v>
      </c>
      <c r="Q34" s="22" t="str">
        <f t="shared" si="9"/>
        <v>Fail</v>
      </c>
      <c r="R34" s="22" t="str">
        <f t="shared" si="9"/>
        <v>Fail</v>
      </c>
      <c r="S34" s="22" t="str">
        <f t="shared" si="9"/>
        <v>Fail</v>
      </c>
      <c r="T34" s="22" t="str">
        <f t="shared" si="9"/>
        <v>Fail</v>
      </c>
      <c r="U34" s="22" t="str">
        <f t="shared" si="9"/>
        <v>Fail</v>
      </c>
      <c r="V34" s="22" t="str">
        <f t="shared" si="9"/>
        <v>Pass</v>
      </c>
      <c r="W34" s="22" t="str">
        <f t="shared" si="6"/>
        <v>Pass</v>
      </c>
      <c r="X34" s="22" t="str">
        <f t="shared" si="6"/>
        <v>Pass</v>
      </c>
      <c r="Y34" s="22" t="str">
        <f t="shared" si="6"/>
        <v>Pass</v>
      </c>
      <c r="Z34" s="22" t="str">
        <f t="shared" si="6"/>
        <v>Pass</v>
      </c>
      <c r="AA34" s="22" t="str">
        <f t="shared" si="6"/>
        <v>Pass</v>
      </c>
      <c r="AB34" s="22" t="str">
        <f t="shared" si="6"/>
        <v>Pass</v>
      </c>
      <c r="AC34" s="22" t="str">
        <f t="shared" si="6"/>
        <v>Pass</v>
      </c>
      <c r="AD34" s="22" t="str">
        <f t="shared" si="6"/>
        <v>Pass</v>
      </c>
      <c r="AE34" s="22" t="str">
        <f t="shared" si="6"/>
        <v>Pass</v>
      </c>
      <c r="AF34" s="22" t="str">
        <f t="shared" si="6"/>
        <v>Pass</v>
      </c>
      <c r="AG34" s="22" t="str">
        <f t="shared" si="6"/>
        <v>Pass</v>
      </c>
      <c r="AH34" s="22" t="str">
        <f t="shared" si="6"/>
        <v>Pass</v>
      </c>
      <c r="AI34" s="22" t="str">
        <f t="shared" si="6"/>
        <v>Pass</v>
      </c>
      <c r="AJ34" s="22" t="str">
        <f t="shared" si="6"/>
        <v>Pass</v>
      </c>
      <c r="AK34" s="26" t="str">
        <f t="shared" si="6"/>
        <v>Pass</v>
      </c>
      <c r="AL34" s="27" t="str">
        <f t="shared" si="6"/>
        <v>Pass</v>
      </c>
      <c r="AM34" s="25" t="str">
        <f t="shared" si="7"/>
        <v>Pass</v>
      </c>
      <c r="AN34" s="22" t="str">
        <f t="shared" si="4"/>
        <v>Pass</v>
      </c>
      <c r="AO34" s="22" t="str">
        <f t="shared" si="4"/>
        <v>Pass</v>
      </c>
      <c r="AP34" s="22" t="str">
        <f t="shared" si="4"/>
        <v>Pass</v>
      </c>
      <c r="AQ34" s="22" t="str">
        <f t="shared" si="4"/>
        <v>Pass</v>
      </c>
      <c r="AR34" s="22" t="str">
        <f t="shared" si="4"/>
        <v>Pass</v>
      </c>
      <c r="AS34" s="22" t="str">
        <f t="shared" si="8"/>
        <v>Pass</v>
      </c>
      <c r="AT34" s="22" t="str">
        <f t="shared" si="8"/>
        <v>Pass</v>
      </c>
      <c r="AU34" s="22" t="str">
        <f t="shared" si="8"/>
        <v>Pass</v>
      </c>
      <c r="AV34" s="22" t="str">
        <f t="shared" si="8"/>
        <v>Pass</v>
      </c>
      <c r="AW34" s="22" t="str">
        <f t="shared" si="8"/>
        <v>Pass</v>
      </c>
      <c r="AX34" s="22" t="str">
        <f t="shared" si="8"/>
        <v>Pass</v>
      </c>
      <c r="AY34" s="22" t="str">
        <f t="shared" si="8"/>
        <v>Pass</v>
      </c>
      <c r="AZ34" s="22" t="str">
        <f t="shared" si="8"/>
        <v>Pass</v>
      </c>
      <c r="BA34" s="22" t="str">
        <f t="shared" si="8"/>
        <v>Pass</v>
      </c>
      <c r="BB34" s="22" t="str">
        <f t="shared" si="8"/>
        <v>Pass</v>
      </c>
      <c r="BC34" s="22" t="str">
        <f t="shared" si="8"/>
        <v>Pass</v>
      </c>
      <c r="BD34" s="22" t="str">
        <f t="shared" si="8"/>
        <v>Pass</v>
      </c>
    </row>
    <row r="35" spans="6:56" ht="15.75" customHeight="1">
      <c r="F35" s="21"/>
      <c r="G35" s="13">
        <f t="shared" si="10"/>
        <v>23</v>
      </c>
      <c r="H35" s="22" t="str">
        <f t="shared" si="9"/>
        <v>Fail</v>
      </c>
      <c r="I35" s="22" t="str">
        <f t="shared" si="9"/>
        <v>Fail</v>
      </c>
      <c r="J35" s="22" t="str">
        <f t="shared" si="9"/>
        <v>Fail</v>
      </c>
      <c r="K35" s="22" t="str">
        <f t="shared" si="9"/>
        <v>Fail</v>
      </c>
      <c r="L35" s="22" t="str">
        <f t="shared" si="9"/>
        <v>Fail</v>
      </c>
      <c r="M35" s="22" t="str">
        <f t="shared" si="9"/>
        <v>Fail</v>
      </c>
      <c r="N35" s="22" t="str">
        <f t="shared" si="9"/>
        <v>Fail</v>
      </c>
      <c r="O35" s="22" t="str">
        <f t="shared" si="9"/>
        <v>Fail</v>
      </c>
      <c r="P35" s="22" t="str">
        <f t="shared" si="9"/>
        <v>Fail</v>
      </c>
      <c r="Q35" s="22" t="str">
        <f t="shared" si="9"/>
        <v>Fail</v>
      </c>
      <c r="R35" s="22" t="str">
        <f t="shared" si="9"/>
        <v>Fail</v>
      </c>
      <c r="S35" s="22" t="str">
        <f t="shared" si="9"/>
        <v>Fail</v>
      </c>
      <c r="T35" s="22" t="str">
        <f t="shared" si="9"/>
        <v>Fail</v>
      </c>
      <c r="U35" s="22" t="str">
        <f t="shared" si="9"/>
        <v>Fail</v>
      </c>
      <c r="V35" s="22" t="str">
        <f t="shared" si="9"/>
        <v>Pass</v>
      </c>
      <c r="W35" s="22" t="str">
        <f t="shared" si="6"/>
        <v>Pass</v>
      </c>
      <c r="X35" s="22" t="str">
        <f t="shared" si="6"/>
        <v>Pass</v>
      </c>
      <c r="Y35" s="22" t="str">
        <f t="shared" si="6"/>
        <v>Pass</v>
      </c>
      <c r="Z35" s="22" t="str">
        <f t="shared" si="6"/>
        <v>Pass</v>
      </c>
      <c r="AA35" s="22" t="str">
        <f t="shared" si="6"/>
        <v>Pass</v>
      </c>
      <c r="AB35" s="22" t="str">
        <f t="shared" si="6"/>
        <v>Pass</v>
      </c>
      <c r="AC35" s="22" t="str">
        <f t="shared" si="6"/>
        <v>Pass</v>
      </c>
      <c r="AD35" s="22" t="str">
        <f t="shared" si="6"/>
        <v>Pass</v>
      </c>
      <c r="AE35" s="22" t="str">
        <f t="shared" si="6"/>
        <v>Pass</v>
      </c>
      <c r="AF35" s="22" t="str">
        <f t="shared" si="6"/>
        <v>Pass</v>
      </c>
      <c r="AG35" s="22" t="str">
        <f t="shared" si="6"/>
        <v>Pass</v>
      </c>
      <c r="AH35" s="22" t="str">
        <f t="shared" si="6"/>
        <v>Pass</v>
      </c>
      <c r="AI35" s="22" t="str">
        <f t="shared" si="6"/>
        <v>Pass</v>
      </c>
      <c r="AJ35" s="22" t="str">
        <f t="shared" si="6"/>
        <v>Pass</v>
      </c>
      <c r="AK35" s="22" t="str">
        <f t="shared" si="6"/>
        <v>Pass</v>
      </c>
      <c r="AL35" s="26" t="str">
        <f t="shared" si="6"/>
        <v>Pass</v>
      </c>
      <c r="AM35" s="27" t="str">
        <f t="shared" si="7"/>
        <v>Pass</v>
      </c>
      <c r="AN35" s="25" t="str">
        <f t="shared" si="4"/>
        <v>Pass</v>
      </c>
      <c r="AO35" s="22" t="str">
        <f t="shared" si="4"/>
        <v>Pass</v>
      </c>
      <c r="AP35" s="22" t="str">
        <f t="shared" si="4"/>
        <v>Pass</v>
      </c>
      <c r="AQ35" s="22" t="str">
        <f t="shared" si="4"/>
        <v>Pass</v>
      </c>
      <c r="AR35" s="22" t="str">
        <f t="shared" si="4"/>
        <v>Pass</v>
      </c>
      <c r="AS35" s="22" t="str">
        <f t="shared" si="8"/>
        <v>Pass</v>
      </c>
      <c r="AT35" s="22" t="str">
        <f t="shared" si="8"/>
        <v>Pass</v>
      </c>
      <c r="AU35" s="22" t="str">
        <f t="shared" si="8"/>
        <v>Pass</v>
      </c>
      <c r="AV35" s="22" t="str">
        <f t="shared" si="8"/>
        <v>Pass</v>
      </c>
      <c r="AW35" s="22" t="str">
        <f t="shared" si="8"/>
        <v>Pass</v>
      </c>
      <c r="AX35" s="22" t="str">
        <f t="shared" si="8"/>
        <v>Pass</v>
      </c>
      <c r="AY35" s="22" t="str">
        <f t="shared" si="8"/>
        <v>Pass</v>
      </c>
      <c r="AZ35" s="22" t="str">
        <f t="shared" si="8"/>
        <v>Pass</v>
      </c>
      <c r="BA35" s="22" t="str">
        <f t="shared" si="8"/>
        <v>Pass</v>
      </c>
      <c r="BB35" s="22" t="str">
        <f t="shared" si="8"/>
        <v>Pass</v>
      </c>
      <c r="BC35" s="22" t="str">
        <f t="shared" si="8"/>
        <v>Pass</v>
      </c>
      <c r="BD35" s="22" t="str">
        <f t="shared" si="8"/>
        <v>Pass</v>
      </c>
    </row>
    <row r="36" spans="6:56" ht="15.75" customHeight="1">
      <c r="F36" s="21"/>
      <c r="G36" s="13">
        <f t="shared" si="10"/>
        <v>24</v>
      </c>
      <c r="H36" s="22" t="str">
        <f t="shared" si="9"/>
        <v>Fail</v>
      </c>
      <c r="I36" s="22" t="str">
        <f t="shared" si="9"/>
        <v>Fail</v>
      </c>
      <c r="J36" s="22" t="str">
        <f t="shared" si="9"/>
        <v>Fail</v>
      </c>
      <c r="K36" s="22" t="str">
        <f t="shared" si="9"/>
        <v>Fail</v>
      </c>
      <c r="L36" s="22" t="str">
        <f t="shared" si="9"/>
        <v>Fail</v>
      </c>
      <c r="M36" s="22" t="str">
        <f t="shared" si="9"/>
        <v>Fail</v>
      </c>
      <c r="N36" s="22" t="str">
        <f t="shared" si="9"/>
        <v>Fail</v>
      </c>
      <c r="O36" s="22" t="str">
        <f t="shared" si="9"/>
        <v>Fail</v>
      </c>
      <c r="P36" s="22" t="str">
        <f t="shared" si="9"/>
        <v>Fail</v>
      </c>
      <c r="Q36" s="22" t="str">
        <f t="shared" si="9"/>
        <v>Fail</v>
      </c>
      <c r="R36" s="22" t="str">
        <f t="shared" si="9"/>
        <v>Fail</v>
      </c>
      <c r="S36" s="22" t="str">
        <f t="shared" si="9"/>
        <v>Fail</v>
      </c>
      <c r="T36" s="22" t="str">
        <f t="shared" si="9"/>
        <v>Fail</v>
      </c>
      <c r="U36" s="22" t="str">
        <f t="shared" si="9"/>
        <v>Fail</v>
      </c>
      <c r="V36" s="22" t="str">
        <f t="shared" si="9"/>
        <v>Fail</v>
      </c>
      <c r="W36" s="22" t="str">
        <f t="shared" si="6"/>
        <v>Pass</v>
      </c>
      <c r="X36" s="22" t="str">
        <f t="shared" si="6"/>
        <v>Pass</v>
      </c>
      <c r="Y36" s="22" t="str">
        <f t="shared" si="6"/>
        <v>Pass</v>
      </c>
      <c r="Z36" s="22" t="str">
        <f t="shared" si="6"/>
        <v>Pass</v>
      </c>
      <c r="AA36" s="22" t="str">
        <f t="shared" si="6"/>
        <v>Pass</v>
      </c>
      <c r="AB36" s="22" t="str">
        <f t="shared" si="6"/>
        <v>Pass</v>
      </c>
      <c r="AC36" s="22" t="str">
        <f t="shared" si="6"/>
        <v>Pass</v>
      </c>
      <c r="AD36" s="22" t="str">
        <f t="shared" si="6"/>
        <v>Pass</v>
      </c>
      <c r="AE36" s="22" t="str">
        <f t="shared" si="6"/>
        <v>Pass</v>
      </c>
      <c r="AF36" s="22" t="str">
        <f t="shared" si="6"/>
        <v>Pass</v>
      </c>
      <c r="AG36" s="22" t="str">
        <f t="shared" si="6"/>
        <v>Pass</v>
      </c>
      <c r="AH36" s="22" t="str">
        <f t="shared" si="6"/>
        <v>Pass</v>
      </c>
      <c r="AI36" s="22" t="str">
        <f t="shared" si="6"/>
        <v>Pass</v>
      </c>
      <c r="AJ36" s="22" t="str">
        <f t="shared" si="6"/>
        <v>Pass</v>
      </c>
      <c r="AK36" s="22" t="str">
        <f t="shared" ref="AK36:AL52" si="11">IF( (MAX(AK$3,$G36)*$C$16)&lt;(48*(MIN(AK$3,$G36))^2*$C$15/$C$14/$C$13),"Pass","Fail")</f>
        <v>Pass</v>
      </c>
      <c r="AL36" s="22" t="str">
        <f t="shared" si="11"/>
        <v>Pass</v>
      </c>
      <c r="AM36" s="26" t="str">
        <f t="shared" si="7"/>
        <v>Pass</v>
      </c>
      <c r="AN36" s="27" t="str">
        <f t="shared" si="4"/>
        <v>Pass</v>
      </c>
      <c r="AO36" s="25" t="str">
        <f t="shared" si="4"/>
        <v>Pass</v>
      </c>
      <c r="AP36" s="22" t="str">
        <f t="shared" si="4"/>
        <v>Pass</v>
      </c>
      <c r="AQ36" s="22" t="str">
        <f t="shared" si="4"/>
        <v>Pass</v>
      </c>
      <c r="AR36" s="22" t="str">
        <f t="shared" si="4"/>
        <v>Pass</v>
      </c>
      <c r="AS36" s="22" t="str">
        <f t="shared" si="8"/>
        <v>Pass</v>
      </c>
      <c r="AT36" s="22" t="str">
        <f t="shared" si="8"/>
        <v>Pass</v>
      </c>
      <c r="AU36" s="22" t="str">
        <f t="shared" si="8"/>
        <v>Pass</v>
      </c>
      <c r="AV36" s="22" t="str">
        <f t="shared" si="8"/>
        <v>Pass</v>
      </c>
      <c r="AW36" s="22" t="str">
        <f t="shared" si="8"/>
        <v>Pass</v>
      </c>
      <c r="AX36" s="22" t="str">
        <f t="shared" si="8"/>
        <v>Pass</v>
      </c>
      <c r="AY36" s="22" t="str">
        <f t="shared" si="8"/>
        <v>Pass</v>
      </c>
      <c r="AZ36" s="22" t="str">
        <f t="shared" si="8"/>
        <v>Pass</v>
      </c>
      <c r="BA36" s="22" t="str">
        <f t="shared" si="8"/>
        <v>Pass</v>
      </c>
      <c r="BB36" s="22" t="str">
        <f t="shared" si="8"/>
        <v>Pass</v>
      </c>
      <c r="BC36" s="22" t="str">
        <f t="shared" si="8"/>
        <v>Pass</v>
      </c>
      <c r="BD36" s="22" t="str">
        <f t="shared" si="8"/>
        <v>Pass</v>
      </c>
    </row>
    <row r="37" spans="6:56" ht="15.75" customHeight="1">
      <c r="F37" s="21"/>
      <c r="G37" s="13">
        <f t="shared" si="10"/>
        <v>25</v>
      </c>
      <c r="H37" s="22" t="str">
        <f t="shared" si="9"/>
        <v>Fail</v>
      </c>
      <c r="I37" s="22" t="str">
        <f t="shared" si="9"/>
        <v>Fail</v>
      </c>
      <c r="J37" s="22" t="str">
        <f t="shared" si="9"/>
        <v>Fail</v>
      </c>
      <c r="K37" s="22" t="str">
        <f t="shared" si="9"/>
        <v>Fail</v>
      </c>
      <c r="L37" s="22" t="str">
        <f t="shared" si="9"/>
        <v>Fail</v>
      </c>
      <c r="M37" s="22" t="str">
        <f t="shared" si="9"/>
        <v>Fail</v>
      </c>
      <c r="N37" s="22" t="str">
        <f t="shared" si="9"/>
        <v>Fail</v>
      </c>
      <c r="O37" s="22" t="str">
        <f t="shared" si="9"/>
        <v>Fail</v>
      </c>
      <c r="P37" s="22" t="str">
        <f t="shared" si="9"/>
        <v>Fail</v>
      </c>
      <c r="Q37" s="22" t="str">
        <f t="shared" si="9"/>
        <v>Fail</v>
      </c>
      <c r="R37" s="22" t="str">
        <f t="shared" si="9"/>
        <v>Fail</v>
      </c>
      <c r="S37" s="22" t="str">
        <f t="shared" si="9"/>
        <v>Fail</v>
      </c>
      <c r="T37" s="22" t="str">
        <f t="shared" si="9"/>
        <v>Fail</v>
      </c>
      <c r="U37" s="22" t="str">
        <f t="shared" si="9"/>
        <v>Fail</v>
      </c>
      <c r="V37" s="22" t="str">
        <f t="shared" si="9"/>
        <v>Fail</v>
      </c>
      <c r="W37" s="22" t="str">
        <f t="shared" ref="W37:AJ52" si="12">IF( (MAX(W$3,$G37)*$C$16)&lt;(48*(MIN(W$3,$G37))^2*$C$15/$C$14/$C$13),"Pass","Fail")</f>
        <v>Pass</v>
      </c>
      <c r="X37" s="22" t="str">
        <f t="shared" si="12"/>
        <v>Pass</v>
      </c>
      <c r="Y37" s="22" t="str">
        <f t="shared" si="12"/>
        <v>Pass</v>
      </c>
      <c r="Z37" s="22" t="str">
        <f t="shared" si="12"/>
        <v>Pass</v>
      </c>
      <c r="AA37" s="22" t="str">
        <f t="shared" si="12"/>
        <v>Pass</v>
      </c>
      <c r="AB37" s="22" t="str">
        <f t="shared" si="12"/>
        <v>Pass</v>
      </c>
      <c r="AC37" s="22" t="str">
        <f t="shared" si="12"/>
        <v>Pass</v>
      </c>
      <c r="AD37" s="22" t="str">
        <f t="shared" si="12"/>
        <v>Pass</v>
      </c>
      <c r="AE37" s="22" t="str">
        <f t="shared" si="12"/>
        <v>Pass</v>
      </c>
      <c r="AF37" s="22" t="str">
        <f t="shared" si="12"/>
        <v>Pass</v>
      </c>
      <c r="AG37" s="22" t="str">
        <f t="shared" si="12"/>
        <v>Pass</v>
      </c>
      <c r="AH37" s="22" t="str">
        <f t="shared" si="12"/>
        <v>Pass</v>
      </c>
      <c r="AI37" s="22" t="str">
        <f t="shared" si="12"/>
        <v>Pass</v>
      </c>
      <c r="AJ37" s="22" t="str">
        <f t="shared" si="12"/>
        <v>Pass</v>
      </c>
      <c r="AK37" s="22" t="str">
        <f t="shared" si="11"/>
        <v>Pass</v>
      </c>
      <c r="AL37" s="22" t="str">
        <f t="shared" si="11"/>
        <v>Pass</v>
      </c>
      <c r="AM37" s="22" t="str">
        <f t="shared" si="7"/>
        <v>Pass</v>
      </c>
      <c r="AN37" s="26" t="str">
        <f t="shared" si="4"/>
        <v>Pass</v>
      </c>
      <c r="AO37" s="27" t="str">
        <f t="shared" si="4"/>
        <v>Pass</v>
      </c>
      <c r="AP37" s="25" t="str">
        <f t="shared" si="4"/>
        <v>Pass</v>
      </c>
      <c r="AQ37" s="22" t="str">
        <f t="shared" si="4"/>
        <v>Pass</v>
      </c>
      <c r="AR37" s="22" t="str">
        <f t="shared" si="4"/>
        <v>Pass</v>
      </c>
      <c r="AS37" s="22" t="str">
        <f t="shared" si="8"/>
        <v>Pass</v>
      </c>
      <c r="AT37" s="22" t="str">
        <f t="shared" si="8"/>
        <v>Pass</v>
      </c>
      <c r="AU37" s="22" t="str">
        <f t="shared" si="8"/>
        <v>Pass</v>
      </c>
      <c r="AV37" s="22" t="str">
        <f t="shared" si="8"/>
        <v>Pass</v>
      </c>
      <c r="AW37" s="22" t="str">
        <f t="shared" si="8"/>
        <v>Pass</v>
      </c>
      <c r="AX37" s="22" t="str">
        <f t="shared" si="8"/>
        <v>Pass</v>
      </c>
      <c r="AY37" s="22" t="str">
        <f t="shared" si="8"/>
        <v>Pass</v>
      </c>
      <c r="AZ37" s="22" t="str">
        <f t="shared" si="8"/>
        <v>Pass</v>
      </c>
      <c r="BA37" s="22" t="str">
        <f t="shared" si="8"/>
        <v>Pass</v>
      </c>
      <c r="BB37" s="22" t="str">
        <f t="shared" si="8"/>
        <v>Pass</v>
      </c>
      <c r="BC37" s="22" t="str">
        <f t="shared" si="8"/>
        <v>Pass</v>
      </c>
      <c r="BD37" s="22" t="str">
        <f t="shared" si="8"/>
        <v>Pass</v>
      </c>
    </row>
    <row r="38" spans="6:56" ht="15.75" customHeight="1">
      <c r="F38" s="21"/>
      <c r="G38" s="13">
        <f t="shared" si="10"/>
        <v>26</v>
      </c>
      <c r="H38" s="22" t="str">
        <f t="shared" ref="H38:V52" si="13">IF( (MAX(H$3,$G38)*$C$16)&lt;(48*(MIN(H$3,$G38))^2*$C$15/$C$14/$C$13),"Pass","Fail")</f>
        <v>Fail</v>
      </c>
      <c r="I38" s="22" t="str">
        <f t="shared" si="13"/>
        <v>Fail</v>
      </c>
      <c r="J38" s="22" t="str">
        <f t="shared" si="13"/>
        <v>Fail</v>
      </c>
      <c r="K38" s="22" t="str">
        <f t="shared" si="13"/>
        <v>Fail</v>
      </c>
      <c r="L38" s="22" t="str">
        <f t="shared" si="13"/>
        <v>Fail</v>
      </c>
      <c r="M38" s="22" t="str">
        <f t="shared" si="13"/>
        <v>Fail</v>
      </c>
      <c r="N38" s="22" t="str">
        <f t="shared" si="13"/>
        <v>Fail</v>
      </c>
      <c r="O38" s="22" t="str">
        <f t="shared" si="13"/>
        <v>Fail</v>
      </c>
      <c r="P38" s="22" t="str">
        <f t="shared" si="13"/>
        <v>Fail</v>
      </c>
      <c r="Q38" s="22" t="str">
        <f t="shared" si="13"/>
        <v>Fail</v>
      </c>
      <c r="R38" s="22" t="str">
        <f t="shared" si="13"/>
        <v>Fail</v>
      </c>
      <c r="S38" s="22" t="str">
        <f t="shared" si="13"/>
        <v>Fail</v>
      </c>
      <c r="T38" s="22" t="str">
        <f t="shared" si="13"/>
        <v>Fail</v>
      </c>
      <c r="U38" s="22" t="str">
        <f t="shared" si="13"/>
        <v>Fail</v>
      </c>
      <c r="V38" s="22" t="str">
        <f t="shared" si="13"/>
        <v>Fail</v>
      </c>
      <c r="W38" s="22" t="str">
        <f t="shared" si="12"/>
        <v>Fail</v>
      </c>
      <c r="X38" s="22" t="str">
        <f t="shared" si="12"/>
        <v>Pass</v>
      </c>
      <c r="Y38" s="22" t="str">
        <f t="shared" si="12"/>
        <v>Pass</v>
      </c>
      <c r="Z38" s="22" t="str">
        <f t="shared" si="12"/>
        <v>Pass</v>
      </c>
      <c r="AA38" s="22" t="str">
        <f t="shared" si="12"/>
        <v>Pass</v>
      </c>
      <c r="AB38" s="22" t="str">
        <f t="shared" si="12"/>
        <v>Pass</v>
      </c>
      <c r="AC38" s="22" t="str">
        <f t="shared" si="12"/>
        <v>Pass</v>
      </c>
      <c r="AD38" s="22" t="str">
        <f t="shared" si="12"/>
        <v>Pass</v>
      </c>
      <c r="AE38" s="22" t="str">
        <f t="shared" si="12"/>
        <v>Pass</v>
      </c>
      <c r="AF38" s="22" t="str">
        <f t="shared" si="12"/>
        <v>Pass</v>
      </c>
      <c r="AG38" s="22" t="str">
        <f t="shared" si="12"/>
        <v>Pass</v>
      </c>
      <c r="AH38" s="22" t="str">
        <f t="shared" si="12"/>
        <v>Pass</v>
      </c>
      <c r="AI38" s="22" t="str">
        <f t="shared" si="12"/>
        <v>Pass</v>
      </c>
      <c r="AJ38" s="22" t="str">
        <f t="shared" si="12"/>
        <v>Pass</v>
      </c>
      <c r="AK38" s="22" t="str">
        <f t="shared" si="11"/>
        <v>Pass</v>
      </c>
      <c r="AL38" s="22" t="str">
        <f t="shared" si="11"/>
        <v>Pass</v>
      </c>
      <c r="AM38" s="22" t="str">
        <f t="shared" si="7"/>
        <v>Pass</v>
      </c>
      <c r="AN38" s="22" t="str">
        <f t="shared" si="4"/>
        <v>Pass</v>
      </c>
      <c r="AO38" s="26" t="str">
        <f t="shared" si="4"/>
        <v>Pass</v>
      </c>
      <c r="AP38" s="27" t="str">
        <f t="shared" si="4"/>
        <v>Pass</v>
      </c>
      <c r="AQ38" s="25" t="str">
        <f t="shared" si="4"/>
        <v>Pass</v>
      </c>
      <c r="AR38" s="22" t="str">
        <f t="shared" si="4"/>
        <v>Pass</v>
      </c>
      <c r="AS38" s="22" t="str">
        <f t="shared" si="8"/>
        <v>Pass</v>
      </c>
      <c r="AT38" s="22" t="str">
        <f t="shared" si="8"/>
        <v>Pass</v>
      </c>
      <c r="AU38" s="22" t="str">
        <f t="shared" si="8"/>
        <v>Pass</v>
      </c>
      <c r="AV38" s="22" t="str">
        <f t="shared" si="8"/>
        <v>Pass</v>
      </c>
      <c r="AW38" s="22" t="str">
        <f t="shared" si="8"/>
        <v>Pass</v>
      </c>
      <c r="AX38" s="22" t="str">
        <f t="shared" si="8"/>
        <v>Pass</v>
      </c>
      <c r="AY38" s="22" t="str">
        <f t="shared" si="8"/>
        <v>Pass</v>
      </c>
      <c r="AZ38" s="22" t="str">
        <f t="shared" si="8"/>
        <v>Pass</v>
      </c>
      <c r="BA38" s="22" t="str">
        <f t="shared" si="8"/>
        <v>Pass</v>
      </c>
      <c r="BB38" s="22" t="str">
        <f t="shared" si="8"/>
        <v>Pass</v>
      </c>
      <c r="BC38" s="22" t="str">
        <f t="shared" si="8"/>
        <v>Pass</v>
      </c>
      <c r="BD38" s="22" t="str">
        <f t="shared" si="8"/>
        <v>Pass</v>
      </c>
    </row>
    <row r="39" spans="6:56" ht="15.75" customHeight="1">
      <c r="F39" s="21"/>
      <c r="G39" s="13">
        <f t="shared" si="10"/>
        <v>27</v>
      </c>
      <c r="H39" s="22" t="str">
        <f t="shared" si="13"/>
        <v>Fail</v>
      </c>
      <c r="I39" s="22" t="str">
        <f t="shared" si="13"/>
        <v>Fail</v>
      </c>
      <c r="J39" s="22" t="str">
        <f t="shared" si="13"/>
        <v>Fail</v>
      </c>
      <c r="K39" s="22" t="str">
        <f t="shared" si="13"/>
        <v>Fail</v>
      </c>
      <c r="L39" s="22" t="str">
        <f t="shared" si="13"/>
        <v>Fail</v>
      </c>
      <c r="M39" s="22" t="str">
        <f t="shared" si="13"/>
        <v>Fail</v>
      </c>
      <c r="N39" s="22" t="str">
        <f t="shared" si="13"/>
        <v>Fail</v>
      </c>
      <c r="O39" s="22" t="str">
        <f t="shared" si="13"/>
        <v>Fail</v>
      </c>
      <c r="P39" s="22" t="str">
        <f t="shared" si="13"/>
        <v>Fail</v>
      </c>
      <c r="Q39" s="22" t="str">
        <f t="shared" si="13"/>
        <v>Fail</v>
      </c>
      <c r="R39" s="22" t="str">
        <f t="shared" si="13"/>
        <v>Fail</v>
      </c>
      <c r="S39" s="22" t="str">
        <f t="shared" si="13"/>
        <v>Fail</v>
      </c>
      <c r="T39" s="22" t="str">
        <f t="shared" si="13"/>
        <v>Fail</v>
      </c>
      <c r="U39" s="22" t="str">
        <f t="shared" si="13"/>
        <v>Fail</v>
      </c>
      <c r="V39" s="22" t="str">
        <f t="shared" si="13"/>
        <v>Fail</v>
      </c>
      <c r="W39" s="22" t="str">
        <f t="shared" si="12"/>
        <v>Fail</v>
      </c>
      <c r="X39" s="22" t="str">
        <f t="shared" si="12"/>
        <v>Pass</v>
      </c>
      <c r="Y39" s="22" t="str">
        <f t="shared" si="12"/>
        <v>Pass</v>
      </c>
      <c r="Z39" s="22" t="str">
        <f t="shared" si="12"/>
        <v>Pass</v>
      </c>
      <c r="AA39" s="22" t="str">
        <f t="shared" si="12"/>
        <v>Pass</v>
      </c>
      <c r="AB39" s="22" t="str">
        <f t="shared" si="12"/>
        <v>Pass</v>
      </c>
      <c r="AC39" s="22" t="str">
        <f t="shared" si="12"/>
        <v>Pass</v>
      </c>
      <c r="AD39" s="22" t="str">
        <f t="shared" si="12"/>
        <v>Pass</v>
      </c>
      <c r="AE39" s="22" t="str">
        <f t="shared" si="12"/>
        <v>Pass</v>
      </c>
      <c r="AF39" s="22" t="str">
        <f t="shared" si="12"/>
        <v>Pass</v>
      </c>
      <c r="AG39" s="22" t="str">
        <f t="shared" si="12"/>
        <v>Pass</v>
      </c>
      <c r="AH39" s="22" t="str">
        <f t="shared" si="12"/>
        <v>Pass</v>
      </c>
      <c r="AI39" s="22" t="str">
        <f t="shared" si="12"/>
        <v>Pass</v>
      </c>
      <c r="AJ39" s="22" t="str">
        <f t="shared" si="12"/>
        <v>Pass</v>
      </c>
      <c r="AK39" s="22" t="str">
        <f t="shared" si="11"/>
        <v>Pass</v>
      </c>
      <c r="AL39" s="22" t="str">
        <f t="shared" si="11"/>
        <v>Pass</v>
      </c>
      <c r="AM39" s="22" t="str">
        <f t="shared" si="7"/>
        <v>Pass</v>
      </c>
      <c r="AN39" s="22" t="str">
        <f t="shared" si="4"/>
        <v>Pass</v>
      </c>
      <c r="AO39" s="22" t="str">
        <f t="shared" si="4"/>
        <v>Pass</v>
      </c>
      <c r="AP39" s="26" t="str">
        <f t="shared" si="4"/>
        <v>Pass</v>
      </c>
      <c r="AQ39" s="27" t="str">
        <f t="shared" si="4"/>
        <v>Pass</v>
      </c>
      <c r="AR39" s="25" t="str">
        <f t="shared" si="4"/>
        <v>Pass</v>
      </c>
      <c r="AS39" s="22" t="str">
        <f t="shared" si="8"/>
        <v>Pass</v>
      </c>
      <c r="AT39" s="22" t="str">
        <f t="shared" si="8"/>
        <v>Pass</v>
      </c>
      <c r="AU39" s="22" t="str">
        <f t="shared" si="8"/>
        <v>Pass</v>
      </c>
      <c r="AV39" s="22" t="str">
        <f t="shared" si="8"/>
        <v>Pass</v>
      </c>
      <c r="AW39" s="22" t="str">
        <f t="shared" si="8"/>
        <v>Pass</v>
      </c>
      <c r="AX39" s="22" t="str">
        <f t="shared" si="8"/>
        <v>Pass</v>
      </c>
      <c r="AY39" s="22" t="str">
        <f t="shared" si="8"/>
        <v>Pass</v>
      </c>
      <c r="AZ39" s="22" t="str">
        <f t="shared" si="8"/>
        <v>Pass</v>
      </c>
      <c r="BA39" s="22" t="str">
        <f t="shared" si="8"/>
        <v>Pass</v>
      </c>
      <c r="BB39" s="22" t="str">
        <f t="shared" si="8"/>
        <v>Pass</v>
      </c>
      <c r="BC39" s="22" t="str">
        <f t="shared" si="8"/>
        <v>Pass</v>
      </c>
      <c r="BD39" s="22" t="str">
        <f t="shared" si="8"/>
        <v>Pass</v>
      </c>
    </row>
    <row r="40" spans="6:56" ht="15.75" customHeight="1">
      <c r="F40" s="21"/>
      <c r="G40" s="13">
        <f t="shared" si="10"/>
        <v>28</v>
      </c>
      <c r="H40" s="22" t="str">
        <f t="shared" si="13"/>
        <v>Fail</v>
      </c>
      <c r="I40" s="22" t="str">
        <f t="shared" si="13"/>
        <v>Fail</v>
      </c>
      <c r="J40" s="22" t="str">
        <f t="shared" si="13"/>
        <v>Fail</v>
      </c>
      <c r="K40" s="22" t="str">
        <f t="shared" si="13"/>
        <v>Fail</v>
      </c>
      <c r="L40" s="22" t="str">
        <f t="shared" si="13"/>
        <v>Fail</v>
      </c>
      <c r="M40" s="22" t="str">
        <f t="shared" si="13"/>
        <v>Fail</v>
      </c>
      <c r="N40" s="22" t="str">
        <f t="shared" si="13"/>
        <v>Fail</v>
      </c>
      <c r="O40" s="22" t="str">
        <f t="shared" si="13"/>
        <v>Fail</v>
      </c>
      <c r="P40" s="22" t="str">
        <f t="shared" si="13"/>
        <v>Fail</v>
      </c>
      <c r="Q40" s="22" t="str">
        <f t="shared" si="13"/>
        <v>Fail</v>
      </c>
      <c r="R40" s="22" t="str">
        <f t="shared" si="13"/>
        <v>Fail</v>
      </c>
      <c r="S40" s="22" t="str">
        <f t="shared" si="13"/>
        <v>Fail</v>
      </c>
      <c r="T40" s="22" t="str">
        <f t="shared" si="13"/>
        <v>Fail</v>
      </c>
      <c r="U40" s="22" t="str">
        <f t="shared" si="13"/>
        <v>Fail</v>
      </c>
      <c r="V40" s="22" t="str">
        <f t="shared" si="13"/>
        <v>Fail</v>
      </c>
      <c r="W40" s="22" t="str">
        <f t="shared" si="12"/>
        <v>Fail</v>
      </c>
      <c r="X40" s="22" t="str">
        <f t="shared" si="12"/>
        <v>Pass</v>
      </c>
      <c r="Y40" s="22" t="str">
        <f t="shared" si="12"/>
        <v>Pass</v>
      </c>
      <c r="Z40" s="22" t="str">
        <f t="shared" si="12"/>
        <v>Pass</v>
      </c>
      <c r="AA40" s="22" t="str">
        <f t="shared" si="12"/>
        <v>Pass</v>
      </c>
      <c r="AB40" s="22" t="str">
        <f t="shared" si="12"/>
        <v>Pass</v>
      </c>
      <c r="AC40" s="22" t="str">
        <f t="shared" si="12"/>
        <v>Pass</v>
      </c>
      <c r="AD40" s="22" t="str">
        <f t="shared" si="12"/>
        <v>Pass</v>
      </c>
      <c r="AE40" s="22" t="str">
        <f t="shared" si="12"/>
        <v>Pass</v>
      </c>
      <c r="AF40" s="22" t="str">
        <f t="shared" si="12"/>
        <v>Pass</v>
      </c>
      <c r="AG40" s="22" t="str">
        <f t="shared" si="12"/>
        <v>Pass</v>
      </c>
      <c r="AH40" s="22" t="str">
        <f t="shared" si="12"/>
        <v>Pass</v>
      </c>
      <c r="AI40" s="22" t="str">
        <f t="shared" si="12"/>
        <v>Pass</v>
      </c>
      <c r="AJ40" s="22" t="str">
        <f t="shared" si="12"/>
        <v>Pass</v>
      </c>
      <c r="AK40" s="22" t="str">
        <f t="shared" si="11"/>
        <v>Pass</v>
      </c>
      <c r="AL40" s="22" t="str">
        <f t="shared" si="11"/>
        <v>Pass</v>
      </c>
      <c r="AM40" s="22" t="str">
        <f t="shared" si="7"/>
        <v>Pass</v>
      </c>
      <c r="AN40" s="22" t="str">
        <f t="shared" si="4"/>
        <v>Pass</v>
      </c>
      <c r="AO40" s="22" t="str">
        <f t="shared" si="4"/>
        <v>Pass</v>
      </c>
      <c r="AP40" s="22" t="str">
        <f t="shared" si="4"/>
        <v>Pass</v>
      </c>
      <c r="AQ40" s="26" t="str">
        <f t="shared" si="4"/>
        <v>Pass</v>
      </c>
      <c r="AR40" s="27" t="str">
        <f t="shared" si="4"/>
        <v>Pass</v>
      </c>
      <c r="AS40" s="25" t="str">
        <f t="shared" si="8"/>
        <v>Pass</v>
      </c>
      <c r="AT40" s="22" t="str">
        <f t="shared" si="8"/>
        <v>Pass</v>
      </c>
      <c r="AU40" s="22" t="str">
        <f t="shared" si="8"/>
        <v>Pass</v>
      </c>
      <c r="AV40" s="22" t="str">
        <f t="shared" si="8"/>
        <v>Pass</v>
      </c>
      <c r="AW40" s="22" t="str">
        <f t="shared" si="8"/>
        <v>Pass</v>
      </c>
      <c r="AX40" s="22" t="str">
        <f t="shared" si="8"/>
        <v>Pass</v>
      </c>
      <c r="AY40" s="22" t="str">
        <f t="shared" si="8"/>
        <v>Pass</v>
      </c>
      <c r="AZ40" s="22" t="str">
        <f t="shared" si="8"/>
        <v>Pass</v>
      </c>
      <c r="BA40" s="22" t="str">
        <f t="shared" si="8"/>
        <v>Pass</v>
      </c>
      <c r="BB40" s="22" t="str">
        <f t="shared" si="8"/>
        <v>Pass</v>
      </c>
      <c r="BC40" s="22" t="str">
        <f t="shared" si="8"/>
        <v>Pass</v>
      </c>
      <c r="BD40" s="22" t="str">
        <f t="shared" si="8"/>
        <v>Pass</v>
      </c>
    </row>
    <row r="41" spans="6:56" ht="15.75" customHeight="1">
      <c r="F41" s="13"/>
      <c r="G41" s="13">
        <f t="shared" si="10"/>
        <v>29</v>
      </c>
      <c r="H41" s="22" t="str">
        <f t="shared" si="13"/>
        <v>Fail</v>
      </c>
      <c r="I41" s="22" t="str">
        <f t="shared" si="13"/>
        <v>Fail</v>
      </c>
      <c r="J41" s="22" t="str">
        <f t="shared" si="13"/>
        <v>Fail</v>
      </c>
      <c r="K41" s="22" t="str">
        <f t="shared" si="13"/>
        <v>Fail</v>
      </c>
      <c r="L41" s="22" t="str">
        <f t="shared" si="13"/>
        <v>Fail</v>
      </c>
      <c r="M41" s="22" t="str">
        <f t="shared" si="13"/>
        <v>Fail</v>
      </c>
      <c r="N41" s="22" t="str">
        <f t="shared" si="13"/>
        <v>Fail</v>
      </c>
      <c r="O41" s="22" t="str">
        <f t="shared" si="13"/>
        <v>Fail</v>
      </c>
      <c r="P41" s="22" t="str">
        <f t="shared" si="13"/>
        <v>Fail</v>
      </c>
      <c r="Q41" s="22" t="str">
        <f t="shared" si="13"/>
        <v>Fail</v>
      </c>
      <c r="R41" s="22" t="str">
        <f t="shared" si="13"/>
        <v>Fail</v>
      </c>
      <c r="S41" s="22" t="str">
        <f t="shared" si="13"/>
        <v>Fail</v>
      </c>
      <c r="T41" s="22" t="str">
        <f t="shared" si="13"/>
        <v>Fail</v>
      </c>
      <c r="U41" s="22" t="str">
        <f t="shared" si="13"/>
        <v>Fail</v>
      </c>
      <c r="V41" s="22" t="str">
        <f t="shared" si="13"/>
        <v>Fail</v>
      </c>
      <c r="W41" s="22" t="str">
        <f t="shared" si="12"/>
        <v>Fail</v>
      </c>
      <c r="X41" s="22" t="str">
        <f t="shared" si="12"/>
        <v>Fail</v>
      </c>
      <c r="Y41" s="22" t="str">
        <f t="shared" si="12"/>
        <v>Pass</v>
      </c>
      <c r="Z41" s="22" t="str">
        <f t="shared" si="12"/>
        <v>Pass</v>
      </c>
      <c r="AA41" s="22" t="str">
        <f t="shared" si="12"/>
        <v>Pass</v>
      </c>
      <c r="AB41" s="22" t="str">
        <f t="shared" si="12"/>
        <v>Pass</v>
      </c>
      <c r="AC41" s="22" t="str">
        <f t="shared" si="12"/>
        <v>Pass</v>
      </c>
      <c r="AD41" s="22" t="str">
        <f t="shared" si="12"/>
        <v>Pass</v>
      </c>
      <c r="AE41" s="22" t="str">
        <f t="shared" si="12"/>
        <v>Pass</v>
      </c>
      <c r="AF41" s="22" t="str">
        <f t="shared" si="12"/>
        <v>Pass</v>
      </c>
      <c r="AG41" s="22" t="str">
        <f t="shared" si="12"/>
        <v>Pass</v>
      </c>
      <c r="AH41" s="22" t="str">
        <f t="shared" si="12"/>
        <v>Pass</v>
      </c>
      <c r="AI41" s="22" t="str">
        <f t="shared" si="12"/>
        <v>Pass</v>
      </c>
      <c r="AJ41" s="22" t="str">
        <f t="shared" si="12"/>
        <v>Pass</v>
      </c>
      <c r="AK41" s="22" t="str">
        <f t="shared" si="11"/>
        <v>Pass</v>
      </c>
      <c r="AL41" s="22" t="str">
        <f t="shared" si="11"/>
        <v>Pass</v>
      </c>
      <c r="AM41" s="22" t="str">
        <f t="shared" si="7"/>
        <v>Pass</v>
      </c>
      <c r="AN41" s="22" t="str">
        <f t="shared" si="4"/>
        <v>Pass</v>
      </c>
      <c r="AO41" s="22" t="str">
        <f t="shared" si="4"/>
        <v>Pass</v>
      </c>
      <c r="AP41" s="22" t="str">
        <f t="shared" si="4"/>
        <v>Pass</v>
      </c>
      <c r="AQ41" s="22" t="str">
        <f t="shared" si="4"/>
        <v>Pass</v>
      </c>
      <c r="AR41" s="26" t="str">
        <f t="shared" si="4"/>
        <v>Pass</v>
      </c>
      <c r="AS41" s="27" t="str">
        <f t="shared" si="8"/>
        <v>Pass</v>
      </c>
      <c r="AT41" s="25" t="str">
        <f t="shared" si="8"/>
        <v>Pass</v>
      </c>
      <c r="AU41" s="22" t="str">
        <f t="shared" si="8"/>
        <v>Pass</v>
      </c>
      <c r="AV41" s="22" t="str">
        <f t="shared" si="8"/>
        <v>Pass</v>
      </c>
      <c r="AW41" s="22" t="str">
        <f t="shared" si="8"/>
        <v>Pass</v>
      </c>
      <c r="AX41" s="22" t="str">
        <f t="shared" si="8"/>
        <v>Pass</v>
      </c>
      <c r="AY41" s="22" t="str">
        <f t="shared" si="8"/>
        <v>Pass</v>
      </c>
      <c r="AZ41" s="22" t="str">
        <f t="shared" si="8"/>
        <v>Pass</v>
      </c>
      <c r="BA41" s="22" t="str">
        <f t="shared" si="8"/>
        <v>Pass</v>
      </c>
      <c r="BB41" s="22" t="str">
        <f t="shared" si="8"/>
        <v>Pass</v>
      </c>
      <c r="BC41" s="22" t="str">
        <f t="shared" si="8"/>
        <v>Pass</v>
      </c>
      <c r="BD41" s="22" t="str">
        <f t="shared" si="8"/>
        <v>Pass</v>
      </c>
    </row>
    <row r="42" spans="6:56" ht="15.75" customHeight="1">
      <c r="F42" s="13"/>
      <c r="G42" s="13">
        <f t="shared" si="10"/>
        <v>30</v>
      </c>
      <c r="H42" s="22" t="str">
        <f t="shared" si="13"/>
        <v>Fail</v>
      </c>
      <c r="I42" s="22" t="str">
        <f t="shared" si="13"/>
        <v>Fail</v>
      </c>
      <c r="J42" s="22" t="str">
        <f t="shared" si="13"/>
        <v>Fail</v>
      </c>
      <c r="K42" s="22" t="str">
        <f t="shared" si="13"/>
        <v>Fail</v>
      </c>
      <c r="L42" s="22" t="str">
        <f t="shared" si="13"/>
        <v>Fail</v>
      </c>
      <c r="M42" s="22" t="str">
        <f t="shared" si="13"/>
        <v>Fail</v>
      </c>
      <c r="N42" s="22" t="str">
        <f t="shared" si="13"/>
        <v>Fail</v>
      </c>
      <c r="O42" s="22" t="str">
        <f t="shared" si="13"/>
        <v>Fail</v>
      </c>
      <c r="P42" s="22" t="str">
        <f t="shared" si="13"/>
        <v>Fail</v>
      </c>
      <c r="Q42" s="22" t="str">
        <f t="shared" si="13"/>
        <v>Fail</v>
      </c>
      <c r="R42" s="22" t="str">
        <f t="shared" si="13"/>
        <v>Fail</v>
      </c>
      <c r="S42" s="22" t="str">
        <f t="shared" si="13"/>
        <v>Fail</v>
      </c>
      <c r="T42" s="22" t="str">
        <f t="shared" si="13"/>
        <v>Fail</v>
      </c>
      <c r="U42" s="22" t="str">
        <f t="shared" si="13"/>
        <v>Fail</v>
      </c>
      <c r="V42" s="22" t="str">
        <f t="shared" si="13"/>
        <v>Fail</v>
      </c>
      <c r="W42" s="22" t="str">
        <f t="shared" si="12"/>
        <v>Fail</v>
      </c>
      <c r="X42" s="22" t="str">
        <f t="shared" si="12"/>
        <v>Fail</v>
      </c>
      <c r="Y42" s="22" t="str">
        <f t="shared" si="12"/>
        <v>Pass</v>
      </c>
      <c r="Z42" s="22" t="str">
        <f t="shared" si="12"/>
        <v>Pass</v>
      </c>
      <c r="AA42" s="22" t="str">
        <f t="shared" si="12"/>
        <v>Pass</v>
      </c>
      <c r="AB42" s="22" t="str">
        <f t="shared" si="12"/>
        <v>Pass</v>
      </c>
      <c r="AC42" s="22" t="str">
        <f t="shared" si="12"/>
        <v>Pass</v>
      </c>
      <c r="AD42" s="22" t="str">
        <f t="shared" si="12"/>
        <v>Pass</v>
      </c>
      <c r="AE42" s="22" t="str">
        <f t="shared" si="12"/>
        <v>Pass</v>
      </c>
      <c r="AF42" s="22" t="str">
        <f t="shared" si="12"/>
        <v>Pass</v>
      </c>
      <c r="AG42" s="22" t="str">
        <f t="shared" si="12"/>
        <v>Pass</v>
      </c>
      <c r="AH42" s="22" t="str">
        <f t="shared" si="12"/>
        <v>Pass</v>
      </c>
      <c r="AI42" s="22" t="str">
        <f t="shared" si="12"/>
        <v>Pass</v>
      </c>
      <c r="AJ42" s="22" t="str">
        <f t="shared" si="12"/>
        <v>Pass</v>
      </c>
      <c r="AK42" s="22" t="str">
        <f t="shared" si="11"/>
        <v>Pass</v>
      </c>
      <c r="AL42" s="22" t="str">
        <f t="shared" si="11"/>
        <v>Pass</v>
      </c>
      <c r="AM42" s="22" t="str">
        <f t="shared" si="7"/>
        <v>Pass</v>
      </c>
      <c r="AN42" s="22" t="str">
        <f t="shared" si="4"/>
        <v>Pass</v>
      </c>
      <c r="AO42" s="22" t="str">
        <f t="shared" si="4"/>
        <v>Pass</v>
      </c>
      <c r="AP42" s="22" t="str">
        <f t="shared" si="4"/>
        <v>Pass</v>
      </c>
      <c r="AQ42" s="22" t="str">
        <f t="shared" si="4"/>
        <v>Pass</v>
      </c>
      <c r="AR42" s="22" t="str">
        <f t="shared" si="4"/>
        <v>Pass</v>
      </c>
      <c r="AS42" s="26" t="str">
        <f t="shared" si="8"/>
        <v>Pass</v>
      </c>
      <c r="AT42" s="27" t="str">
        <f t="shared" si="8"/>
        <v>Pass</v>
      </c>
      <c r="AU42" s="25" t="str">
        <f t="shared" ref="AS42:BD52" si="14">IF( (MAX(AU$3,$G42)*$C$16)&lt;(48*(MIN(AU$3,$G42))^2*$C$15/$C$14/$C$13),"Pass","Fail")</f>
        <v>Pass</v>
      </c>
      <c r="AV42" s="22" t="str">
        <f t="shared" si="14"/>
        <v>Pass</v>
      </c>
      <c r="AW42" s="22" t="str">
        <f t="shared" si="14"/>
        <v>Pass</v>
      </c>
      <c r="AX42" s="22" t="str">
        <f t="shared" si="14"/>
        <v>Pass</v>
      </c>
      <c r="AY42" s="22" t="str">
        <f t="shared" si="14"/>
        <v>Pass</v>
      </c>
      <c r="AZ42" s="22" t="str">
        <f t="shared" si="14"/>
        <v>Pass</v>
      </c>
      <c r="BA42" s="22" t="str">
        <f t="shared" si="14"/>
        <v>Pass</v>
      </c>
      <c r="BB42" s="22" t="str">
        <f t="shared" si="14"/>
        <v>Pass</v>
      </c>
      <c r="BC42" s="22" t="str">
        <f t="shared" si="14"/>
        <v>Pass</v>
      </c>
      <c r="BD42" s="22" t="str">
        <f t="shared" si="14"/>
        <v>Pass</v>
      </c>
    </row>
    <row r="43" spans="6:56" ht="15.75" customHeight="1">
      <c r="F43" s="13"/>
      <c r="G43" s="13">
        <f t="shared" si="10"/>
        <v>31</v>
      </c>
      <c r="H43" s="22" t="str">
        <f t="shared" si="13"/>
        <v>Fail</v>
      </c>
      <c r="I43" s="22" t="str">
        <f t="shared" si="13"/>
        <v>Fail</v>
      </c>
      <c r="J43" s="22" t="str">
        <f t="shared" si="13"/>
        <v>Fail</v>
      </c>
      <c r="K43" s="22" t="str">
        <f t="shared" si="13"/>
        <v>Fail</v>
      </c>
      <c r="L43" s="22" t="str">
        <f t="shared" si="13"/>
        <v>Fail</v>
      </c>
      <c r="M43" s="22" t="str">
        <f t="shared" si="13"/>
        <v>Fail</v>
      </c>
      <c r="N43" s="22" t="str">
        <f t="shared" si="13"/>
        <v>Fail</v>
      </c>
      <c r="O43" s="22" t="str">
        <f t="shared" si="13"/>
        <v>Fail</v>
      </c>
      <c r="P43" s="22" t="str">
        <f t="shared" si="13"/>
        <v>Fail</v>
      </c>
      <c r="Q43" s="22" t="str">
        <f t="shared" si="13"/>
        <v>Fail</v>
      </c>
      <c r="R43" s="22" t="str">
        <f t="shared" si="13"/>
        <v>Fail</v>
      </c>
      <c r="S43" s="22" t="str">
        <f t="shared" si="13"/>
        <v>Fail</v>
      </c>
      <c r="T43" s="22" t="str">
        <f t="shared" si="13"/>
        <v>Fail</v>
      </c>
      <c r="U43" s="22" t="str">
        <f t="shared" si="13"/>
        <v>Fail</v>
      </c>
      <c r="V43" s="22" t="str">
        <f t="shared" si="13"/>
        <v>Fail</v>
      </c>
      <c r="W43" s="22" t="str">
        <f t="shared" si="12"/>
        <v>Fail</v>
      </c>
      <c r="X43" s="22" t="str">
        <f t="shared" si="12"/>
        <v>Fail</v>
      </c>
      <c r="Y43" s="22" t="str">
        <f t="shared" si="12"/>
        <v>Pass</v>
      </c>
      <c r="Z43" s="22" t="str">
        <f t="shared" si="12"/>
        <v>Pass</v>
      </c>
      <c r="AA43" s="22" t="str">
        <f t="shared" si="12"/>
        <v>Pass</v>
      </c>
      <c r="AB43" s="22" t="str">
        <f t="shared" si="12"/>
        <v>Pass</v>
      </c>
      <c r="AC43" s="22" t="str">
        <f t="shared" si="12"/>
        <v>Pass</v>
      </c>
      <c r="AD43" s="22" t="str">
        <f t="shared" si="12"/>
        <v>Pass</v>
      </c>
      <c r="AE43" s="22" t="str">
        <f t="shared" si="12"/>
        <v>Pass</v>
      </c>
      <c r="AF43" s="22" t="str">
        <f t="shared" si="12"/>
        <v>Pass</v>
      </c>
      <c r="AG43" s="22" t="str">
        <f t="shared" si="12"/>
        <v>Pass</v>
      </c>
      <c r="AH43" s="22" t="str">
        <f t="shared" si="12"/>
        <v>Pass</v>
      </c>
      <c r="AI43" s="22" t="str">
        <f t="shared" si="12"/>
        <v>Pass</v>
      </c>
      <c r="AJ43" s="22" t="str">
        <f t="shared" si="12"/>
        <v>Pass</v>
      </c>
      <c r="AK43" s="22" t="str">
        <f t="shared" si="11"/>
        <v>Pass</v>
      </c>
      <c r="AL43" s="22" t="str">
        <f t="shared" si="11"/>
        <v>Pass</v>
      </c>
      <c r="AM43" s="22" t="str">
        <f t="shared" si="7"/>
        <v>Pass</v>
      </c>
      <c r="AN43" s="22" t="str">
        <f t="shared" si="4"/>
        <v>Pass</v>
      </c>
      <c r="AO43" s="22" t="str">
        <f t="shared" si="4"/>
        <v>Pass</v>
      </c>
      <c r="AP43" s="22" t="str">
        <f t="shared" si="4"/>
        <v>Pass</v>
      </c>
      <c r="AQ43" s="22" t="str">
        <f t="shared" si="4"/>
        <v>Pass</v>
      </c>
      <c r="AR43" s="22" t="str">
        <f t="shared" si="4"/>
        <v>Pass</v>
      </c>
      <c r="AS43" s="22" t="str">
        <f t="shared" si="14"/>
        <v>Pass</v>
      </c>
      <c r="AT43" s="26" t="str">
        <f t="shared" si="14"/>
        <v>Pass</v>
      </c>
      <c r="AU43" s="27" t="str">
        <f t="shared" si="14"/>
        <v>Pass</v>
      </c>
      <c r="AV43" s="25" t="str">
        <f t="shared" si="14"/>
        <v>Pass</v>
      </c>
      <c r="AW43" s="22" t="str">
        <f t="shared" si="14"/>
        <v>Pass</v>
      </c>
      <c r="AX43" s="22" t="str">
        <f t="shared" si="14"/>
        <v>Pass</v>
      </c>
      <c r="AY43" s="22" t="str">
        <f t="shared" si="14"/>
        <v>Pass</v>
      </c>
      <c r="AZ43" s="22" t="str">
        <f t="shared" si="14"/>
        <v>Pass</v>
      </c>
      <c r="BA43" s="22" t="str">
        <f t="shared" si="14"/>
        <v>Pass</v>
      </c>
      <c r="BB43" s="22" t="str">
        <f t="shared" si="14"/>
        <v>Pass</v>
      </c>
      <c r="BC43" s="22" t="str">
        <f t="shared" si="14"/>
        <v>Pass</v>
      </c>
      <c r="BD43" s="22" t="str">
        <f t="shared" si="14"/>
        <v>Pass</v>
      </c>
    </row>
    <row r="44" spans="6:56" ht="15.75" customHeight="1">
      <c r="F44" s="13"/>
      <c r="G44" s="13">
        <f t="shared" si="10"/>
        <v>32</v>
      </c>
      <c r="H44" s="22" t="str">
        <f t="shared" si="13"/>
        <v>Fail</v>
      </c>
      <c r="I44" s="22" t="str">
        <f t="shared" si="13"/>
        <v>Fail</v>
      </c>
      <c r="J44" s="22" t="str">
        <f t="shared" si="13"/>
        <v>Fail</v>
      </c>
      <c r="K44" s="22" t="str">
        <f t="shared" si="13"/>
        <v>Fail</v>
      </c>
      <c r="L44" s="22" t="str">
        <f t="shared" si="13"/>
        <v>Fail</v>
      </c>
      <c r="M44" s="22" t="str">
        <f t="shared" si="13"/>
        <v>Fail</v>
      </c>
      <c r="N44" s="22" t="str">
        <f t="shared" si="13"/>
        <v>Fail</v>
      </c>
      <c r="O44" s="22" t="str">
        <f t="shared" si="13"/>
        <v>Fail</v>
      </c>
      <c r="P44" s="22" t="str">
        <f t="shared" si="13"/>
        <v>Fail</v>
      </c>
      <c r="Q44" s="22" t="str">
        <f t="shared" si="13"/>
        <v>Fail</v>
      </c>
      <c r="R44" s="22" t="str">
        <f t="shared" si="13"/>
        <v>Fail</v>
      </c>
      <c r="S44" s="22" t="str">
        <f t="shared" si="13"/>
        <v>Fail</v>
      </c>
      <c r="T44" s="22" t="str">
        <f t="shared" si="13"/>
        <v>Fail</v>
      </c>
      <c r="U44" s="22" t="str">
        <f t="shared" si="13"/>
        <v>Fail</v>
      </c>
      <c r="V44" s="22" t="str">
        <f t="shared" si="13"/>
        <v>Fail</v>
      </c>
      <c r="W44" s="22" t="str">
        <f t="shared" si="12"/>
        <v>Fail</v>
      </c>
      <c r="X44" s="22" t="str">
        <f t="shared" si="12"/>
        <v>Fail</v>
      </c>
      <c r="Y44" s="22" t="str">
        <f t="shared" si="12"/>
        <v>Fail</v>
      </c>
      <c r="Z44" s="22" t="str">
        <f t="shared" si="12"/>
        <v>Pass</v>
      </c>
      <c r="AA44" s="22" t="str">
        <f t="shared" si="12"/>
        <v>Pass</v>
      </c>
      <c r="AB44" s="22" t="str">
        <f t="shared" si="12"/>
        <v>Pass</v>
      </c>
      <c r="AC44" s="22" t="str">
        <f t="shared" si="12"/>
        <v>Pass</v>
      </c>
      <c r="AD44" s="22" t="str">
        <f t="shared" si="12"/>
        <v>Pass</v>
      </c>
      <c r="AE44" s="22" t="str">
        <f t="shared" si="12"/>
        <v>Pass</v>
      </c>
      <c r="AF44" s="22" t="str">
        <f t="shared" si="12"/>
        <v>Pass</v>
      </c>
      <c r="AG44" s="22" t="str">
        <f t="shared" si="12"/>
        <v>Pass</v>
      </c>
      <c r="AH44" s="22" t="str">
        <f t="shared" si="12"/>
        <v>Pass</v>
      </c>
      <c r="AI44" s="22" t="str">
        <f t="shared" si="12"/>
        <v>Pass</v>
      </c>
      <c r="AJ44" s="22" t="str">
        <f t="shared" si="12"/>
        <v>Pass</v>
      </c>
      <c r="AK44" s="22" t="str">
        <f t="shared" si="11"/>
        <v>Pass</v>
      </c>
      <c r="AL44" s="22" t="str">
        <f t="shared" si="11"/>
        <v>Pass</v>
      </c>
      <c r="AM44" s="22" t="str">
        <f t="shared" si="7"/>
        <v>Pass</v>
      </c>
      <c r="AN44" s="22" t="str">
        <f t="shared" si="4"/>
        <v>Pass</v>
      </c>
      <c r="AO44" s="22" t="str">
        <f t="shared" si="4"/>
        <v>Pass</v>
      </c>
      <c r="AP44" s="22" t="str">
        <f t="shared" si="4"/>
        <v>Pass</v>
      </c>
      <c r="AQ44" s="22" t="str">
        <f t="shared" si="4"/>
        <v>Pass</v>
      </c>
      <c r="AR44" s="22" t="str">
        <f t="shared" si="4"/>
        <v>Pass</v>
      </c>
      <c r="AS44" s="22" t="str">
        <f t="shared" si="14"/>
        <v>Pass</v>
      </c>
      <c r="AT44" s="22" t="str">
        <f t="shared" si="14"/>
        <v>Pass</v>
      </c>
      <c r="AU44" s="26" t="str">
        <f t="shared" si="14"/>
        <v>Pass</v>
      </c>
      <c r="AV44" s="27" t="str">
        <f t="shared" si="14"/>
        <v>Pass</v>
      </c>
      <c r="AW44" s="25" t="str">
        <f t="shared" si="14"/>
        <v>Pass</v>
      </c>
      <c r="AX44" s="22" t="str">
        <f t="shared" si="14"/>
        <v>Pass</v>
      </c>
      <c r="AY44" s="22" t="str">
        <f t="shared" si="14"/>
        <v>Pass</v>
      </c>
      <c r="AZ44" s="22" t="str">
        <f t="shared" si="14"/>
        <v>Pass</v>
      </c>
      <c r="BA44" s="22" t="str">
        <f t="shared" si="14"/>
        <v>Pass</v>
      </c>
      <c r="BB44" s="22" t="str">
        <f t="shared" si="14"/>
        <v>Pass</v>
      </c>
      <c r="BC44" s="22" t="str">
        <f t="shared" si="14"/>
        <v>Pass</v>
      </c>
      <c r="BD44" s="22" t="str">
        <f t="shared" si="14"/>
        <v>Pass</v>
      </c>
    </row>
    <row r="45" spans="6:56" ht="15.75" customHeight="1">
      <c r="F45" s="13"/>
      <c r="G45" s="13">
        <f t="shared" si="10"/>
        <v>33</v>
      </c>
      <c r="H45" s="22" t="str">
        <f t="shared" si="13"/>
        <v>Fail</v>
      </c>
      <c r="I45" s="22" t="str">
        <f t="shared" si="13"/>
        <v>Fail</v>
      </c>
      <c r="J45" s="22" t="str">
        <f t="shared" si="13"/>
        <v>Fail</v>
      </c>
      <c r="K45" s="22" t="str">
        <f t="shared" si="13"/>
        <v>Fail</v>
      </c>
      <c r="L45" s="22" t="str">
        <f t="shared" si="13"/>
        <v>Fail</v>
      </c>
      <c r="M45" s="22" t="str">
        <f t="shared" si="13"/>
        <v>Fail</v>
      </c>
      <c r="N45" s="22" t="str">
        <f t="shared" si="13"/>
        <v>Fail</v>
      </c>
      <c r="O45" s="22" t="str">
        <f t="shared" si="13"/>
        <v>Fail</v>
      </c>
      <c r="P45" s="22" t="str">
        <f t="shared" si="13"/>
        <v>Fail</v>
      </c>
      <c r="Q45" s="22" t="str">
        <f t="shared" si="13"/>
        <v>Fail</v>
      </c>
      <c r="R45" s="22" t="str">
        <f t="shared" si="13"/>
        <v>Fail</v>
      </c>
      <c r="S45" s="22" t="str">
        <f t="shared" si="13"/>
        <v>Fail</v>
      </c>
      <c r="T45" s="22" t="str">
        <f t="shared" si="13"/>
        <v>Fail</v>
      </c>
      <c r="U45" s="22" t="str">
        <f t="shared" si="13"/>
        <v>Fail</v>
      </c>
      <c r="V45" s="22" t="str">
        <f t="shared" si="13"/>
        <v>Fail</v>
      </c>
      <c r="W45" s="22" t="str">
        <f t="shared" si="12"/>
        <v>Fail</v>
      </c>
      <c r="X45" s="22" t="str">
        <f t="shared" si="12"/>
        <v>Fail</v>
      </c>
      <c r="Y45" s="22" t="str">
        <f t="shared" si="12"/>
        <v>Fail</v>
      </c>
      <c r="Z45" s="22" t="str">
        <f t="shared" si="12"/>
        <v>Pass</v>
      </c>
      <c r="AA45" s="22" t="str">
        <f t="shared" si="12"/>
        <v>Pass</v>
      </c>
      <c r="AB45" s="22" t="str">
        <f t="shared" si="12"/>
        <v>Pass</v>
      </c>
      <c r="AC45" s="22" t="str">
        <f t="shared" si="12"/>
        <v>Pass</v>
      </c>
      <c r="AD45" s="22" t="str">
        <f t="shared" si="12"/>
        <v>Pass</v>
      </c>
      <c r="AE45" s="22" t="str">
        <f t="shared" si="12"/>
        <v>Pass</v>
      </c>
      <c r="AF45" s="22" t="str">
        <f t="shared" si="12"/>
        <v>Pass</v>
      </c>
      <c r="AG45" s="22" t="str">
        <f t="shared" si="12"/>
        <v>Pass</v>
      </c>
      <c r="AH45" s="22" t="str">
        <f t="shared" si="12"/>
        <v>Pass</v>
      </c>
      <c r="AI45" s="22" t="str">
        <f t="shared" si="12"/>
        <v>Pass</v>
      </c>
      <c r="AJ45" s="22" t="str">
        <f t="shared" si="12"/>
        <v>Pass</v>
      </c>
      <c r="AK45" s="22" t="str">
        <f t="shared" si="11"/>
        <v>Pass</v>
      </c>
      <c r="AL45" s="22" t="str">
        <f t="shared" si="11"/>
        <v>Pass</v>
      </c>
      <c r="AM45" s="22" t="str">
        <f t="shared" si="7"/>
        <v>Pass</v>
      </c>
      <c r="AN45" s="22" t="str">
        <f t="shared" si="4"/>
        <v>Pass</v>
      </c>
      <c r="AO45" s="22" t="str">
        <f t="shared" si="4"/>
        <v>Pass</v>
      </c>
      <c r="AP45" s="22" t="str">
        <f t="shared" si="4"/>
        <v>Pass</v>
      </c>
      <c r="AQ45" s="22" t="str">
        <f t="shared" si="4"/>
        <v>Pass</v>
      </c>
      <c r="AR45" s="22" t="str">
        <f t="shared" si="4"/>
        <v>Pass</v>
      </c>
      <c r="AS45" s="22" t="str">
        <f t="shared" si="14"/>
        <v>Pass</v>
      </c>
      <c r="AT45" s="22" t="str">
        <f t="shared" si="14"/>
        <v>Pass</v>
      </c>
      <c r="AU45" s="22" t="str">
        <f t="shared" si="14"/>
        <v>Pass</v>
      </c>
      <c r="AV45" s="26" t="str">
        <f t="shared" si="14"/>
        <v>Pass</v>
      </c>
      <c r="AW45" s="27" t="str">
        <f t="shared" si="14"/>
        <v>Pass</v>
      </c>
      <c r="AX45" s="25" t="str">
        <f t="shared" si="14"/>
        <v>Pass</v>
      </c>
      <c r="AY45" s="22" t="str">
        <f t="shared" si="14"/>
        <v>Pass</v>
      </c>
      <c r="AZ45" s="22" t="str">
        <f t="shared" si="14"/>
        <v>Pass</v>
      </c>
      <c r="BA45" s="22" t="str">
        <f t="shared" si="14"/>
        <v>Pass</v>
      </c>
      <c r="BB45" s="22" t="str">
        <f t="shared" si="14"/>
        <v>Pass</v>
      </c>
      <c r="BC45" s="22" t="str">
        <f t="shared" si="14"/>
        <v>Pass</v>
      </c>
      <c r="BD45" s="22" t="str">
        <f t="shared" si="14"/>
        <v>Pass</v>
      </c>
    </row>
    <row r="46" spans="6:56" ht="15.75" customHeight="1">
      <c r="F46" s="13"/>
      <c r="G46" s="13">
        <f t="shared" si="10"/>
        <v>34</v>
      </c>
      <c r="H46" s="22" t="str">
        <f t="shared" si="13"/>
        <v>Fail</v>
      </c>
      <c r="I46" s="22" t="str">
        <f t="shared" si="13"/>
        <v>Fail</v>
      </c>
      <c r="J46" s="22" t="str">
        <f t="shared" si="13"/>
        <v>Fail</v>
      </c>
      <c r="K46" s="22" t="str">
        <f t="shared" si="13"/>
        <v>Fail</v>
      </c>
      <c r="L46" s="22" t="str">
        <f t="shared" si="13"/>
        <v>Fail</v>
      </c>
      <c r="M46" s="22" t="str">
        <f t="shared" si="13"/>
        <v>Fail</v>
      </c>
      <c r="N46" s="22" t="str">
        <f t="shared" si="13"/>
        <v>Fail</v>
      </c>
      <c r="O46" s="22" t="str">
        <f t="shared" si="13"/>
        <v>Fail</v>
      </c>
      <c r="P46" s="22" t="str">
        <f t="shared" si="13"/>
        <v>Fail</v>
      </c>
      <c r="Q46" s="22" t="str">
        <f t="shared" si="13"/>
        <v>Fail</v>
      </c>
      <c r="R46" s="22" t="str">
        <f t="shared" si="13"/>
        <v>Fail</v>
      </c>
      <c r="S46" s="22" t="str">
        <f t="shared" si="13"/>
        <v>Fail</v>
      </c>
      <c r="T46" s="22" t="str">
        <f t="shared" si="13"/>
        <v>Fail</v>
      </c>
      <c r="U46" s="22" t="str">
        <f t="shared" si="13"/>
        <v>Fail</v>
      </c>
      <c r="V46" s="22" t="str">
        <f t="shared" si="13"/>
        <v>Fail</v>
      </c>
      <c r="W46" s="22" t="str">
        <f t="shared" si="12"/>
        <v>Fail</v>
      </c>
      <c r="X46" s="22" t="str">
        <f t="shared" si="12"/>
        <v>Fail</v>
      </c>
      <c r="Y46" s="22" t="str">
        <f t="shared" si="12"/>
        <v>Fail</v>
      </c>
      <c r="Z46" s="22" t="str">
        <f t="shared" si="12"/>
        <v>Pass</v>
      </c>
      <c r="AA46" s="22" t="str">
        <f t="shared" si="12"/>
        <v>Pass</v>
      </c>
      <c r="AB46" s="22" t="str">
        <f t="shared" si="12"/>
        <v>Pass</v>
      </c>
      <c r="AC46" s="22" t="str">
        <f t="shared" si="12"/>
        <v>Pass</v>
      </c>
      <c r="AD46" s="22" t="str">
        <f t="shared" si="12"/>
        <v>Pass</v>
      </c>
      <c r="AE46" s="22" t="str">
        <f t="shared" si="12"/>
        <v>Pass</v>
      </c>
      <c r="AF46" s="22" t="str">
        <f t="shared" si="12"/>
        <v>Pass</v>
      </c>
      <c r="AG46" s="22" t="str">
        <f t="shared" si="12"/>
        <v>Pass</v>
      </c>
      <c r="AH46" s="22" t="str">
        <f t="shared" si="12"/>
        <v>Pass</v>
      </c>
      <c r="AI46" s="22" t="str">
        <f t="shared" si="12"/>
        <v>Pass</v>
      </c>
      <c r="AJ46" s="22" t="str">
        <f t="shared" si="12"/>
        <v>Pass</v>
      </c>
      <c r="AK46" s="22" t="str">
        <f t="shared" si="11"/>
        <v>Pass</v>
      </c>
      <c r="AL46" s="22" t="str">
        <f t="shared" si="11"/>
        <v>Pass</v>
      </c>
      <c r="AM46" s="22" t="str">
        <f t="shared" si="7"/>
        <v>Pass</v>
      </c>
      <c r="AN46" s="22" t="str">
        <f t="shared" si="4"/>
        <v>Pass</v>
      </c>
      <c r="AO46" s="22" t="str">
        <f t="shared" si="4"/>
        <v>Pass</v>
      </c>
      <c r="AP46" s="22" t="str">
        <f t="shared" si="4"/>
        <v>Pass</v>
      </c>
      <c r="AQ46" s="22" t="str">
        <f t="shared" si="4"/>
        <v>Pass</v>
      </c>
      <c r="AR46" s="22" t="str">
        <f t="shared" si="4"/>
        <v>Pass</v>
      </c>
      <c r="AS46" s="22" t="str">
        <f t="shared" si="14"/>
        <v>Pass</v>
      </c>
      <c r="AT46" s="22" t="str">
        <f t="shared" si="14"/>
        <v>Pass</v>
      </c>
      <c r="AU46" s="22" t="str">
        <f t="shared" si="14"/>
        <v>Pass</v>
      </c>
      <c r="AV46" s="22" t="str">
        <f t="shared" si="14"/>
        <v>Pass</v>
      </c>
      <c r="AW46" s="26" t="str">
        <f t="shared" si="14"/>
        <v>Pass</v>
      </c>
      <c r="AX46" s="27" t="str">
        <f t="shared" si="14"/>
        <v>Pass</v>
      </c>
      <c r="AY46" s="25" t="str">
        <f t="shared" si="14"/>
        <v>Pass</v>
      </c>
      <c r="AZ46" s="22" t="str">
        <f t="shared" si="14"/>
        <v>Pass</v>
      </c>
      <c r="BA46" s="22" t="str">
        <f t="shared" si="14"/>
        <v>Pass</v>
      </c>
      <c r="BB46" s="22" t="str">
        <f t="shared" si="14"/>
        <v>Pass</v>
      </c>
      <c r="BC46" s="22" t="str">
        <f t="shared" si="14"/>
        <v>Pass</v>
      </c>
      <c r="BD46" s="22" t="str">
        <f t="shared" si="14"/>
        <v>Pass</v>
      </c>
    </row>
    <row r="47" spans="6:56" ht="15.75" customHeight="1">
      <c r="F47" s="13"/>
      <c r="G47" s="13">
        <f t="shared" si="10"/>
        <v>35</v>
      </c>
      <c r="H47" s="22" t="str">
        <f t="shared" si="13"/>
        <v>Fail</v>
      </c>
      <c r="I47" s="22" t="str">
        <f t="shared" si="13"/>
        <v>Fail</v>
      </c>
      <c r="J47" s="22" t="str">
        <f t="shared" si="13"/>
        <v>Fail</v>
      </c>
      <c r="K47" s="22" t="str">
        <f t="shared" si="13"/>
        <v>Fail</v>
      </c>
      <c r="L47" s="22" t="str">
        <f t="shared" si="13"/>
        <v>Fail</v>
      </c>
      <c r="M47" s="22" t="str">
        <f t="shared" si="13"/>
        <v>Fail</v>
      </c>
      <c r="N47" s="22" t="str">
        <f t="shared" si="13"/>
        <v>Fail</v>
      </c>
      <c r="O47" s="22" t="str">
        <f t="shared" si="13"/>
        <v>Fail</v>
      </c>
      <c r="P47" s="22" t="str">
        <f t="shared" si="13"/>
        <v>Fail</v>
      </c>
      <c r="Q47" s="22" t="str">
        <f t="shared" si="13"/>
        <v>Fail</v>
      </c>
      <c r="R47" s="22" t="str">
        <f t="shared" si="13"/>
        <v>Fail</v>
      </c>
      <c r="S47" s="22" t="str">
        <f t="shared" si="13"/>
        <v>Fail</v>
      </c>
      <c r="T47" s="22" t="str">
        <f t="shared" si="13"/>
        <v>Fail</v>
      </c>
      <c r="U47" s="22" t="str">
        <f t="shared" si="13"/>
        <v>Fail</v>
      </c>
      <c r="V47" s="22" t="str">
        <f t="shared" si="13"/>
        <v>Fail</v>
      </c>
      <c r="W47" s="22" t="str">
        <f t="shared" si="12"/>
        <v>Fail</v>
      </c>
      <c r="X47" s="22" t="str">
        <f t="shared" si="12"/>
        <v>Fail</v>
      </c>
      <c r="Y47" s="22" t="str">
        <f t="shared" si="12"/>
        <v>Fail</v>
      </c>
      <c r="Z47" s="22" t="str">
        <f t="shared" si="12"/>
        <v>Fail</v>
      </c>
      <c r="AA47" s="22" t="str">
        <f t="shared" si="12"/>
        <v>Pass</v>
      </c>
      <c r="AB47" s="22" t="str">
        <f t="shared" si="12"/>
        <v>Pass</v>
      </c>
      <c r="AC47" s="22" t="str">
        <f t="shared" si="12"/>
        <v>Pass</v>
      </c>
      <c r="AD47" s="22" t="str">
        <f t="shared" si="12"/>
        <v>Pass</v>
      </c>
      <c r="AE47" s="22" t="str">
        <f t="shared" si="12"/>
        <v>Pass</v>
      </c>
      <c r="AF47" s="22" t="str">
        <f t="shared" si="12"/>
        <v>Pass</v>
      </c>
      <c r="AG47" s="22" t="str">
        <f t="shared" si="12"/>
        <v>Pass</v>
      </c>
      <c r="AH47" s="22" t="str">
        <f t="shared" si="12"/>
        <v>Pass</v>
      </c>
      <c r="AI47" s="22" t="str">
        <f t="shared" si="12"/>
        <v>Pass</v>
      </c>
      <c r="AJ47" s="22" t="str">
        <f t="shared" si="12"/>
        <v>Pass</v>
      </c>
      <c r="AK47" s="22" t="str">
        <f t="shared" si="11"/>
        <v>Pass</v>
      </c>
      <c r="AL47" s="22" t="str">
        <f t="shared" si="11"/>
        <v>Pass</v>
      </c>
      <c r="AM47" s="22" t="str">
        <f t="shared" si="7"/>
        <v>Pass</v>
      </c>
      <c r="AN47" s="22" t="str">
        <f t="shared" si="4"/>
        <v>Pass</v>
      </c>
      <c r="AO47" s="22" t="str">
        <f t="shared" si="4"/>
        <v>Pass</v>
      </c>
      <c r="AP47" s="22" t="str">
        <f t="shared" si="4"/>
        <v>Pass</v>
      </c>
      <c r="AQ47" s="22" t="str">
        <f t="shared" si="4"/>
        <v>Pass</v>
      </c>
      <c r="AR47" s="22" t="str">
        <f t="shared" si="4"/>
        <v>Pass</v>
      </c>
      <c r="AS47" s="22" t="str">
        <f t="shared" si="14"/>
        <v>Pass</v>
      </c>
      <c r="AT47" s="22" t="str">
        <f t="shared" si="14"/>
        <v>Pass</v>
      </c>
      <c r="AU47" s="22" t="str">
        <f t="shared" si="14"/>
        <v>Pass</v>
      </c>
      <c r="AV47" s="22" t="str">
        <f t="shared" si="14"/>
        <v>Pass</v>
      </c>
      <c r="AW47" s="22" t="str">
        <f t="shared" si="14"/>
        <v>Pass</v>
      </c>
      <c r="AX47" s="26" t="str">
        <f t="shared" si="14"/>
        <v>Pass</v>
      </c>
      <c r="AY47" s="27" t="str">
        <f t="shared" si="14"/>
        <v>Pass</v>
      </c>
      <c r="AZ47" s="25" t="str">
        <f t="shared" si="14"/>
        <v>Pass</v>
      </c>
      <c r="BA47" s="22" t="str">
        <f t="shared" si="14"/>
        <v>Pass</v>
      </c>
      <c r="BB47" s="22" t="str">
        <f t="shared" si="14"/>
        <v>Pass</v>
      </c>
      <c r="BC47" s="22" t="str">
        <f t="shared" si="14"/>
        <v>Pass</v>
      </c>
      <c r="BD47" s="22" t="str">
        <f t="shared" si="14"/>
        <v>Pass</v>
      </c>
    </row>
    <row r="48" spans="6:56" ht="15.75" customHeight="1">
      <c r="F48" s="13"/>
      <c r="G48" s="13">
        <f t="shared" si="10"/>
        <v>36</v>
      </c>
      <c r="H48" s="22" t="str">
        <f t="shared" si="13"/>
        <v>Fail</v>
      </c>
      <c r="I48" s="22" t="str">
        <f t="shared" si="13"/>
        <v>Fail</v>
      </c>
      <c r="J48" s="22" t="str">
        <f t="shared" si="13"/>
        <v>Fail</v>
      </c>
      <c r="K48" s="22" t="str">
        <f t="shared" si="13"/>
        <v>Fail</v>
      </c>
      <c r="L48" s="22" t="str">
        <f t="shared" si="13"/>
        <v>Fail</v>
      </c>
      <c r="M48" s="22" t="str">
        <f t="shared" si="13"/>
        <v>Fail</v>
      </c>
      <c r="N48" s="22" t="str">
        <f t="shared" si="13"/>
        <v>Fail</v>
      </c>
      <c r="O48" s="22" t="str">
        <f t="shared" si="13"/>
        <v>Fail</v>
      </c>
      <c r="P48" s="22" t="str">
        <f t="shared" si="13"/>
        <v>Fail</v>
      </c>
      <c r="Q48" s="22" t="str">
        <f t="shared" si="13"/>
        <v>Fail</v>
      </c>
      <c r="R48" s="22" t="str">
        <f t="shared" si="13"/>
        <v>Fail</v>
      </c>
      <c r="S48" s="22" t="str">
        <f t="shared" si="13"/>
        <v>Fail</v>
      </c>
      <c r="T48" s="22" t="str">
        <f t="shared" si="13"/>
        <v>Fail</v>
      </c>
      <c r="U48" s="22" t="str">
        <f t="shared" si="13"/>
        <v>Fail</v>
      </c>
      <c r="V48" s="22" t="str">
        <f t="shared" si="13"/>
        <v>Fail</v>
      </c>
      <c r="W48" s="22" t="str">
        <f t="shared" si="12"/>
        <v>Fail</v>
      </c>
      <c r="X48" s="22" t="str">
        <f t="shared" si="12"/>
        <v>Fail</v>
      </c>
      <c r="Y48" s="22" t="str">
        <f t="shared" si="12"/>
        <v>Fail</v>
      </c>
      <c r="Z48" s="22" t="str">
        <f t="shared" si="12"/>
        <v>Fail</v>
      </c>
      <c r="AA48" s="22" t="str">
        <f t="shared" si="12"/>
        <v>Pass</v>
      </c>
      <c r="AB48" s="22" t="str">
        <f t="shared" si="12"/>
        <v>Pass</v>
      </c>
      <c r="AC48" s="22" t="str">
        <f t="shared" si="12"/>
        <v>Pass</v>
      </c>
      <c r="AD48" s="22" t="str">
        <f t="shared" si="12"/>
        <v>Pass</v>
      </c>
      <c r="AE48" s="22" t="str">
        <f t="shared" si="12"/>
        <v>Pass</v>
      </c>
      <c r="AF48" s="22" t="str">
        <f t="shared" si="12"/>
        <v>Pass</v>
      </c>
      <c r="AG48" s="22" t="str">
        <f t="shared" si="12"/>
        <v>Pass</v>
      </c>
      <c r="AH48" s="22" t="str">
        <f t="shared" si="12"/>
        <v>Pass</v>
      </c>
      <c r="AI48" s="22" t="str">
        <f t="shared" si="12"/>
        <v>Pass</v>
      </c>
      <c r="AJ48" s="22" t="str">
        <f t="shared" si="12"/>
        <v>Pass</v>
      </c>
      <c r="AK48" s="22" t="str">
        <f t="shared" si="11"/>
        <v>Pass</v>
      </c>
      <c r="AL48" s="22" t="str">
        <f t="shared" si="11"/>
        <v>Pass</v>
      </c>
      <c r="AM48" s="22" t="str">
        <f t="shared" si="7"/>
        <v>Pass</v>
      </c>
      <c r="AN48" s="22" t="str">
        <f t="shared" si="4"/>
        <v>Pass</v>
      </c>
      <c r="AO48" s="22" t="str">
        <f t="shared" si="4"/>
        <v>Pass</v>
      </c>
      <c r="AP48" s="22" t="str">
        <f t="shared" si="4"/>
        <v>Pass</v>
      </c>
      <c r="AQ48" s="22" t="str">
        <f t="shared" si="4"/>
        <v>Pass</v>
      </c>
      <c r="AR48" s="22" t="str">
        <f t="shared" si="4"/>
        <v>Pass</v>
      </c>
      <c r="AS48" s="22" t="str">
        <f t="shared" si="14"/>
        <v>Pass</v>
      </c>
      <c r="AT48" s="22" t="str">
        <f t="shared" si="14"/>
        <v>Pass</v>
      </c>
      <c r="AU48" s="22" t="str">
        <f t="shared" si="14"/>
        <v>Pass</v>
      </c>
      <c r="AV48" s="22" t="str">
        <f t="shared" si="14"/>
        <v>Pass</v>
      </c>
      <c r="AW48" s="22" t="str">
        <f t="shared" si="14"/>
        <v>Pass</v>
      </c>
      <c r="AX48" s="22" t="str">
        <f t="shared" si="14"/>
        <v>Pass</v>
      </c>
      <c r="AY48" s="26" t="str">
        <f t="shared" si="14"/>
        <v>Pass</v>
      </c>
      <c r="AZ48" s="27" t="str">
        <f t="shared" si="14"/>
        <v>Pass</v>
      </c>
      <c r="BA48" s="25" t="str">
        <f t="shared" si="14"/>
        <v>Pass</v>
      </c>
      <c r="BB48" s="22" t="str">
        <f t="shared" si="14"/>
        <v>Pass</v>
      </c>
      <c r="BC48" s="22" t="str">
        <f t="shared" si="14"/>
        <v>Pass</v>
      </c>
      <c r="BD48" s="22" t="str">
        <f t="shared" si="14"/>
        <v>Pass</v>
      </c>
    </row>
    <row r="49" spans="6:56" ht="15.75" customHeight="1">
      <c r="F49" s="13"/>
      <c r="G49" s="13">
        <f t="shared" si="10"/>
        <v>37</v>
      </c>
      <c r="H49" s="22" t="str">
        <f t="shared" si="13"/>
        <v>Fail</v>
      </c>
      <c r="I49" s="22" t="str">
        <f t="shared" si="13"/>
        <v>Fail</v>
      </c>
      <c r="J49" s="22" t="str">
        <f t="shared" si="13"/>
        <v>Fail</v>
      </c>
      <c r="K49" s="22" t="str">
        <f t="shared" si="13"/>
        <v>Fail</v>
      </c>
      <c r="L49" s="22" t="str">
        <f t="shared" si="13"/>
        <v>Fail</v>
      </c>
      <c r="M49" s="22" t="str">
        <f t="shared" si="13"/>
        <v>Fail</v>
      </c>
      <c r="N49" s="22" t="str">
        <f t="shared" si="13"/>
        <v>Fail</v>
      </c>
      <c r="O49" s="22" t="str">
        <f t="shared" si="13"/>
        <v>Fail</v>
      </c>
      <c r="P49" s="22" t="str">
        <f t="shared" si="13"/>
        <v>Fail</v>
      </c>
      <c r="Q49" s="22" t="str">
        <f t="shared" si="13"/>
        <v>Fail</v>
      </c>
      <c r="R49" s="22" t="str">
        <f t="shared" si="13"/>
        <v>Fail</v>
      </c>
      <c r="S49" s="22" t="str">
        <f t="shared" si="13"/>
        <v>Fail</v>
      </c>
      <c r="T49" s="22" t="str">
        <f t="shared" si="13"/>
        <v>Fail</v>
      </c>
      <c r="U49" s="22" t="str">
        <f t="shared" si="13"/>
        <v>Fail</v>
      </c>
      <c r="V49" s="22" t="str">
        <f t="shared" si="13"/>
        <v>Fail</v>
      </c>
      <c r="W49" s="22" t="str">
        <f t="shared" si="12"/>
        <v>Fail</v>
      </c>
      <c r="X49" s="22" t="str">
        <f t="shared" si="12"/>
        <v>Fail</v>
      </c>
      <c r="Y49" s="22" t="str">
        <f t="shared" si="12"/>
        <v>Fail</v>
      </c>
      <c r="Z49" s="22" t="str">
        <f t="shared" si="12"/>
        <v>Fail</v>
      </c>
      <c r="AA49" s="22" t="str">
        <f t="shared" si="12"/>
        <v>Pass</v>
      </c>
      <c r="AB49" s="22" t="str">
        <f t="shared" si="12"/>
        <v>Pass</v>
      </c>
      <c r="AC49" s="22" t="str">
        <f t="shared" si="12"/>
        <v>Pass</v>
      </c>
      <c r="AD49" s="22" t="str">
        <f t="shared" si="12"/>
        <v>Pass</v>
      </c>
      <c r="AE49" s="22" t="str">
        <f t="shared" si="12"/>
        <v>Pass</v>
      </c>
      <c r="AF49" s="22" t="str">
        <f t="shared" si="12"/>
        <v>Pass</v>
      </c>
      <c r="AG49" s="22" t="str">
        <f t="shared" si="12"/>
        <v>Pass</v>
      </c>
      <c r="AH49" s="22" t="str">
        <f t="shared" si="12"/>
        <v>Pass</v>
      </c>
      <c r="AI49" s="22" t="str">
        <f t="shared" si="12"/>
        <v>Pass</v>
      </c>
      <c r="AJ49" s="22" t="str">
        <f t="shared" si="12"/>
        <v>Pass</v>
      </c>
      <c r="AK49" s="22" t="str">
        <f t="shared" si="11"/>
        <v>Pass</v>
      </c>
      <c r="AL49" s="22" t="str">
        <f t="shared" si="11"/>
        <v>Pass</v>
      </c>
      <c r="AM49" s="22" t="str">
        <f t="shared" si="7"/>
        <v>Pass</v>
      </c>
      <c r="AN49" s="22" t="str">
        <f t="shared" si="4"/>
        <v>Pass</v>
      </c>
      <c r="AO49" s="22" t="str">
        <f t="shared" si="4"/>
        <v>Pass</v>
      </c>
      <c r="AP49" s="22" t="str">
        <f t="shared" si="4"/>
        <v>Pass</v>
      </c>
      <c r="AQ49" s="22" t="str">
        <f t="shared" si="4"/>
        <v>Pass</v>
      </c>
      <c r="AR49" s="22" t="str">
        <f t="shared" si="4"/>
        <v>Pass</v>
      </c>
      <c r="AS49" s="22" t="str">
        <f t="shared" si="14"/>
        <v>Pass</v>
      </c>
      <c r="AT49" s="22" t="str">
        <f t="shared" si="14"/>
        <v>Pass</v>
      </c>
      <c r="AU49" s="22" t="str">
        <f t="shared" si="14"/>
        <v>Pass</v>
      </c>
      <c r="AV49" s="22" t="str">
        <f t="shared" si="14"/>
        <v>Pass</v>
      </c>
      <c r="AW49" s="22" t="str">
        <f t="shared" si="14"/>
        <v>Pass</v>
      </c>
      <c r="AX49" s="22" t="str">
        <f t="shared" si="14"/>
        <v>Pass</v>
      </c>
      <c r="AY49" s="22" t="str">
        <f t="shared" si="14"/>
        <v>Pass</v>
      </c>
      <c r="AZ49" s="26" t="str">
        <f t="shared" si="14"/>
        <v>Pass</v>
      </c>
      <c r="BA49" s="27" t="str">
        <f t="shared" si="14"/>
        <v>Pass</v>
      </c>
      <c r="BB49" s="25" t="str">
        <f t="shared" si="14"/>
        <v>Pass</v>
      </c>
      <c r="BC49" s="22" t="str">
        <f t="shared" si="14"/>
        <v>Pass</v>
      </c>
      <c r="BD49" s="22" t="str">
        <f t="shared" si="14"/>
        <v>Pass</v>
      </c>
    </row>
    <row r="50" spans="6:56" ht="15.75" customHeight="1">
      <c r="F50" s="13"/>
      <c r="G50" s="13">
        <f t="shared" si="10"/>
        <v>38</v>
      </c>
      <c r="H50" s="22" t="str">
        <f t="shared" si="13"/>
        <v>Fail</v>
      </c>
      <c r="I50" s="22" t="str">
        <f t="shared" si="13"/>
        <v>Fail</v>
      </c>
      <c r="J50" s="22" t="str">
        <f t="shared" si="13"/>
        <v>Fail</v>
      </c>
      <c r="K50" s="22" t="str">
        <f t="shared" si="13"/>
        <v>Fail</v>
      </c>
      <c r="L50" s="22" t="str">
        <f t="shared" si="13"/>
        <v>Fail</v>
      </c>
      <c r="M50" s="22" t="str">
        <f t="shared" si="13"/>
        <v>Fail</v>
      </c>
      <c r="N50" s="22" t="str">
        <f t="shared" si="13"/>
        <v>Fail</v>
      </c>
      <c r="O50" s="22" t="str">
        <f t="shared" si="13"/>
        <v>Fail</v>
      </c>
      <c r="P50" s="22" t="str">
        <f t="shared" si="13"/>
        <v>Fail</v>
      </c>
      <c r="Q50" s="22" t="str">
        <f t="shared" si="13"/>
        <v>Fail</v>
      </c>
      <c r="R50" s="22" t="str">
        <f t="shared" si="13"/>
        <v>Fail</v>
      </c>
      <c r="S50" s="22" t="str">
        <f t="shared" si="13"/>
        <v>Fail</v>
      </c>
      <c r="T50" s="22" t="str">
        <f t="shared" si="13"/>
        <v>Fail</v>
      </c>
      <c r="U50" s="22" t="str">
        <f t="shared" si="13"/>
        <v>Fail</v>
      </c>
      <c r="V50" s="22" t="str">
        <f t="shared" si="13"/>
        <v>Fail</v>
      </c>
      <c r="W50" s="22" t="str">
        <f t="shared" si="12"/>
        <v>Fail</v>
      </c>
      <c r="X50" s="22" t="str">
        <f t="shared" si="12"/>
        <v>Fail</v>
      </c>
      <c r="Y50" s="22" t="str">
        <f t="shared" si="12"/>
        <v>Fail</v>
      </c>
      <c r="Z50" s="22" t="str">
        <f t="shared" si="12"/>
        <v>Fail</v>
      </c>
      <c r="AA50" s="22" t="str">
        <f t="shared" si="12"/>
        <v>Fail</v>
      </c>
      <c r="AB50" s="22" t="str">
        <f t="shared" si="12"/>
        <v>Pass</v>
      </c>
      <c r="AC50" s="22" t="str">
        <f t="shared" si="12"/>
        <v>Pass</v>
      </c>
      <c r="AD50" s="22" t="str">
        <f t="shared" si="12"/>
        <v>Pass</v>
      </c>
      <c r="AE50" s="22" t="str">
        <f t="shared" si="12"/>
        <v>Pass</v>
      </c>
      <c r="AF50" s="22" t="str">
        <f t="shared" si="12"/>
        <v>Pass</v>
      </c>
      <c r="AG50" s="22" t="str">
        <f t="shared" si="12"/>
        <v>Pass</v>
      </c>
      <c r="AH50" s="22" t="str">
        <f t="shared" si="12"/>
        <v>Pass</v>
      </c>
      <c r="AI50" s="22" t="str">
        <f t="shared" si="12"/>
        <v>Pass</v>
      </c>
      <c r="AJ50" s="22" t="str">
        <f t="shared" si="12"/>
        <v>Pass</v>
      </c>
      <c r="AK50" s="22" t="str">
        <f t="shared" si="11"/>
        <v>Pass</v>
      </c>
      <c r="AL50" s="22" t="str">
        <f t="shared" si="11"/>
        <v>Pass</v>
      </c>
      <c r="AM50" s="22" t="str">
        <f t="shared" si="7"/>
        <v>Pass</v>
      </c>
      <c r="AN50" s="22" t="str">
        <f t="shared" si="4"/>
        <v>Pass</v>
      </c>
      <c r="AO50" s="22" t="str">
        <f t="shared" si="4"/>
        <v>Pass</v>
      </c>
      <c r="AP50" s="22" t="str">
        <f t="shared" si="4"/>
        <v>Pass</v>
      </c>
      <c r="AQ50" s="22" t="str">
        <f t="shared" si="4"/>
        <v>Pass</v>
      </c>
      <c r="AR50" s="22" t="str">
        <f t="shared" si="4"/>
        <v>Pass</v>
      </c>
      <c r="AS50" s="22" t="str">
        <f t="shared" si="14"/>
        <v>Pass</v>
      </c>
      <c r="AT50" s="22" t="str">
        <f t="shared" si="14"/>
        <v>Pass</v>
      </c>
      <c r="AU50" s="22" t="str">
        <f t="shared" si="14"/>
        <v>Pass</v>
      </c>
      <c r="AV50" s="22" t="str">
        <f t="shared" si="14"/>
        <v>Pass</v>
      </c>
      <c r="AW50" s="22" t="str">
        <f t="shared" si="14"/>
        <v>Pass</v>
      </c>
      <c r="AX50" s="22" t="str">
        <f t="shared" si="14"/>
        <v>Pass</v>
      </c>
      <c r="AY50" s="22" t="str">
        <f t="shared" si="14"/>
        <v>Pass</v>
      </c>
      <c r="AZ50" s="22" t="str">
        <f t="shared" si="14"/>
        <v>Pass</v>
      </c>
      <c r="BA50" s="26" t="str">
        <f t="shared" si="14"/>
        <v>Pass</v>
      </c>
      <c r="BB50" s="27" t="str">
        <f t="shared" si="14"/>
        <v>Pass</v>
      </c>
      <c r="BC50" s="25" t="str">
        <f t="shared" si="14"/>
        <v>Pass</v>
      </c>
      <c r="BD50" s="22" t="str">
        <f t="shared" si="14"/>
        <v>Pass</v>
      </c>
    </row>
    <row r="51" spans="6:56" ht="15.75" customHeight="1">
      <c r="F51" s="13"/>
      <c r="G51" s="13">
        <f t="shared" si="10"/>
        <v>39</v>
      </c>
      <c r="H51" s="22" t="str">
        <f t="shared" si="13"/>
        <v>Fail</v>
      </c>
      <c r="I51" s="22" t="str">
        <f t="shared" si="13"/>
        <v>Fail</v>
      </c>
      <c r="J51" s="22" t="str">
        <f t="shared" si="13"/>
        <v>Fail</v>
      </c>
      <c r="K51" s="22" t="str">
        <f t="shared" si="13"/>
        <v>Fail</v>
      </c>
      <c r="L51" s="22" t="str">
        <f t="shared" si="13"/>
        <v>Fail</v>
      </c>
      <c r="M51" s="22" t="str">
        <f t="shared" si="13"/>
        <v>Fail</v>
      </c>
      <c r="N51" s="22" t="str">
        <f t="shared" si="13"/>
        <v>Fail</v>
      </c>
      <c r="O51" s="22" t="str">
        <f t="shared" si="13"/>
        <v>Fail</v>
      </c>
      <c r="P51" s="22" t="str">
        <f t="shared" si="13"/>
        <v>Fail</v>
      </c>
      <c r="Q51" s="22" t="str">
        <f t="shared" si="13"/>
        <v>Fail</v>
      </c>
      <c r="R51" s="22" t="str">
        <f t="shared" si="13"/>
        <v>Fail</v>
      </c>
      <c r="S51" s="22" t="str">
        <f t="shared" si="13"/>
        <v>Fail</v>
      </c>
      <c r="T51" s="22" t="str">
        <f t="shared" si="13"/>
        <v>Fail</v>
      </c>
      <c r="U51" s="22" t="str">
        <f t="shared" si="13"/>
        <v>Fail</v>
      </c>
      <c r="V51" s="22" t="str">
        <f t="shared" si="13"/>
        <v>Fail</v>
      </c>
      <c r="W51" s="22" t="str">
        <f t="shared" si="12"/>
        <v>Fail</v>
      </c>
      <c r="X51" s="22" t="str">
        <f t="shared" si="12"/>
        <v>Fail</v>
      </c>
      <c r="Y51" s="22" t="str">
        <f t="shared" si="12"/>
        <v>Fail</v>
      </c>
      <c r="Z51" s="22" t="str">
        <f t="shared" si="12"/>
        <v>Fail</v>
      </c>
      <c r="AA51" s="22" t="str">
        <f t="shared" si="12"/>
        <v>Fail</v>
      </c>
      <c r="AB51" s="22" t="str">
        <f t="shared" si="12"/>
        <v>Pass</v>
      </c>
      <c r="AC51" s="22" t="str">
        <f t="shared" si="12"/>
        <v>Pass</v>
      </c>
      <c r="AD51" s="22" t="str">
        <f t="shared" si="12"/>
        <v>Pass</v>
      </c>
      <c r="AE51" s="22" t="str">
        <f t="shared" si="12"/>
        <v>Pass</v>
      </c>
      <c r="AF51" s="22" t="str">
        <f t="shared" si="12"/>
        <v>Pass</v>
      </c>
      <c r="AG51" s="22" t="str">
        <f t="shared" si="12"/>
        <v>Pass</v>
      </c>
      <c r="AH51" s="22" t="str">
        <f t="shared" si="12"/>
        <v>Pass</v>
      </c>
      <c r="AI51" s="22" t="str">
        <f t="shared" si="12"/>
        <v>Pass</v>
      </c>
      <c r="AJ51" s="22" t="str">
        <f t="shared" si="12"/>
        <v>Pass</v>
      </c>
      <c r="AK51" s="22" t="str">
        <f t="shared" si="11"/>
        <v>Pass</v>
      </c>
      <c r="AL51" s="22" t="str">
        <f t="shared" si="11"/>
        <v>Pass</v>
      </c>
      <c r="AM51" s="22" t="str">
        <f t="shared" si="7"/>
        <v>Pass</v>
      </c>
      <c r="AN51" s="22" t="str">
        <f t="shared" si="4"/>
        <v>Pass</v>
      </c>
      <c r="AO51" s="22" t="str">
        <f t="shared" si="4"/>
        <v>Pass</v>
      </c>
      <c r="AP51" s="22" t="str">
        <f t="shared" si="4"/>
        <v>Pass</v>
      </c>
      <c r="AQ51" s="22" t="str">
        <f t="shared" si="4"/>
        <v>Pass</v>
      </c>
      <c r="AR51" s="22" t="str">
        <f t="shared" si="4"/>
        <v>Pass</v>
      </c>
      <c r="AS51" s="22" t="str">
        <f t="shared" si="14"/>
        <v>Pass</v>
      </c>
      <c r="AT51" s="22" t="str">
        <f t="shared" si="14"/>
        <v>Pass</v>
      </c>
      <c r="AU51" s="22" t="str">
        <f t="shared" si="14"/>
        <v>Pass</v>
      </c>
      <c r="AV51" s="22" t="str">
        <f t="shared" si="14"/>
        <v>Pass</v>
      </c>
      <c r="AW51" s="22" t="str">
        <f t="shared" si="14"/>
        <v>Pass</v>
      </c>
      <c r="AX51" s="22" t="str">
        <f t="shared" si="14"/>
        <v>Pass</v>
      </c>
      <c r="AY51" s="22" t="str">
        <f t="shared" si="14"/>
        <v>Pass</v>
      </c>
      <c r="AZ51" s="22" t="str">
        <f t="shared" si="14"/>
        <v>Pass</v>
      </c>
      <c r="BA51" s="22" t="str">
        <f t="shared" si="14"/>
        <v>Pass</v>
      </c>
      <c r="BB51" s="26" t="str">
        <f t="shared" si="14"/>
        <v>Pass</v>
      </c>
      <c r="BC51" s="27" t="str">
        <f t="shared" si="14"/>
        <v>Pass</v>
      </c>
      <c r="BD51" s="25" t="str">
        <f t="shared" si="14"/>
        <v>Pass</v>
      </c>
    </row>
    <row r="52" spans="6:56" ht="15.75" customHeight="1">
      <c r="F52" s="13"/>
      <c r="G52" s="13">
        <f t="shared" si="10"/>
        <v>40</v>
      </c>
      <c r="H52" s="22" t="str">
        <f t="shared" si="13"/>
        <v>Fail</v>
      </c>
      <c r="I52" s="22" t="str">
        <f t="shared" si="13"/>
        <v>Fail</v>
      </c>
      <c r="J52" s="22" t="str">
        <f t="shared" si="13"/>
        <v>Fail</v>
      </c>
      <c r="K52" s="22" t="str">
        <f t="shared" si="13"/>
        <v>Fail</v>
      </c>
      <c r="L52" s="22" t="str">
        <f t="shared" si="13"/>
        <v>Fail</v>
      </c>
      <c r="M52" s="22" t="str">
        <f t="shared" si="13"/>
        <v>Fail</v>
      </c>
      <c r="N52" s="22" t="str">
        <f t="shared" si="13"/>
        <v>Fail</v>
      </c>
      <c r="O52" s="22" t="str">
        <f t="shared" si="13"/>
        <v>Fail</v>
      </c>
      <c r="P52" s="22" t="str">
        <f t="shared" si="13"/>
        <v>Fail</v>
      </c>
      <c r="Q52" s="22" t="str">
        <f t="shared" si="13"/>
        <v>Fail</v>
      </c>
      <c r="R52" s="22" t="str">
        <f t="shared" si="13"/>
        <v>Fail</v>
      </c>
      <c r="S52" s="22" t="str">
        <f t="shared" si="13"/>
        <v>Fail</v>
      </c>
      <c r="T52" s="22" t="str">
        <f t="shared" si="13"/>
        <v>Fail</v>
      </c>
      <c r="U52" s="22" t="str">
        <f t="shared" si="13"/>
        <v>Fail</v>
      </c>
      <c r="V52" s="22" t="str">
        <f t="shared" si="13"/>
        <v>Fail</v>
      </c>
      <c r="W52" s="22" t="str">
        <f t="shared" si="12"/>
        <v>Fail</v>
      </c>
      <c r="X52" s="22" t="str">
        <f t="shared" si="12"/>
        <v>Fail</v>
      </c>
      <c r="Y52" s="22" t="str">
        <f t="shared" si="12"/>
        <v>Fail</v>
      </c>
      <c r="Z52" s="22" t="str">
        <f t="shared" si="12"/>
        <v>Fail</v>
      </c>
      <c r="AA52" s="22" t="str">
        <f t="shared" si="12"/>
        <v>Fail</v>
      </c>
      <c r="AB52" s="22" t="str">
        <f t="shared" si="12"/>
        <v>Pass</v>
      </c>
      <c r="AC52" s="22" t="str">
        <f t="shared" si="12"/>
        <v>Pass</v>
      </c>
      <c r="AD52" s="22" t="str">
        <f t="shared" si="12"/>
        <v>Pass</v>
      </c>
      <c r="AE52" s="22" t="str">
        <f t="shared" si="12"/>
        <v>Pass</v>
      </c>
      <c r="AF52" s="22" t="str">
        <f t="shared" si="12"/>
        <v>Pass</v>
      </c>
      <c r="AG52" s="22" t="str">
        <f t="shared" si="12"/>
        <v>Pass</v>
      </c>
      <c r="AH52" s="22" t="str">
        <f t="shared" si="12"/>
        <v>Pass</v>
      </c>
      <c r="AI52" s="22" t="str">
        <f t="shared" si="12"/>
        <v>Pass</v>
      </c>
      <c r="AJ52" s="22" t="str">
        <f t="shared" si="12"/>
        <v>Pass</v>
      </c>
      <c r="AK52" s="22" t="str">
        <f t="shared" si="11"/>
        <v>Pass</v>
      </c>
      <c r="AL52" s="22" t="str">
        <f t="shared" si="11"/>
        <v>Pass</v>
      </c>
      <c r="AM52" s="22" t="str">
        <f t="shared" si="7"/>
        <v>Pass</v>
      </c>
      <c r="AN52" s="22" t="str">
        <f t="shared" si="4"/>
        <v>Pass</v>
      </c>
      <c r="AO52" s="22" t="str">
        <f t="shared" si="4"/>
        <v>Pass</v>
      </c>
      <c r="AP52" s="22" t="str">
        <f t="shared" si="4"/>
        <v>Pass</v>
      </c>
      <c r="AQ52" s="22" t="str">
        <f t="shared" si="4"/>
        <v>Pass</v>
      </c>
      <c r="AR52" s="22" t="str">
        <f t="shared" si="4"/>
        <v>Pass</v>
      </c>
      <c r="AS52" s="22" t="str">
        <f t="shared" si="14"/>
        <v>Pass</v>
      </c>
      <c r="AT52" s="22" t="str">
        <f t="shared" si="14"/>
        <v>Pass</v>
      </c>
      <c r="AU52" s="22" t="str">
        <f t="shared" si="14"/>
        <v>Pass</v>
      </c>
      <c r="AV52" s="22" t="str">
        <f t="shared" si="14"/>
        <v>Pass</v>
      </c>
      <c r="AW52" s="22" t="str">
        <f t="shared" si="14"/>
        <v>Pass</v>
      </c>
      <c r="AX52" s="22" t="str">
        <f t="shared" si="14"/>
        <v>Pass</v>
      </c>
      <c r="AY52" s="22" t="str">
        <f t="shared" si="14"/>
        <v>Pass</v>
      </c>
      <c r="AZ52" s="22" t="str">
        <f t="shared" si="14"/>
        <v>Pass</v>
      </c>
      <c r="BA52" s="22" t="str">
        <f t="shared" si="14"/>
        <v>Pass</v>
      </c>
      <c r="BB52" s="22" t="str">
        <f t="shared" si="14"/>
        <v>Pass</v>
      </c>
      <c r="BC52" s="26" t="str">
        <f t="shared" si="14"/>
        <v>Pass</v>
      </c>
      <c r="BD52" s="27" t="str">
        <f t="shared" si="14"/>
        <v>Pass</v>
      </c>
    </row>
    <row r="59" spans="6:56" ht="15.75" customHeight="1">
      <c r="Y59" s="19"/>
    </row>
  </sheetData>
  <mergeCells count="2">
    <mergeCell ref="G2:AR2"/>
    <mergeCell ref="F3:F40"/>
  </mergeCells>
  <conditionalFormatting sqref="H4:BD52">
    <cfRule type="cellIs" dxfId="1" priority="2" operator="equal">
      <formula>"Pass"</formula>
    </cfRule>
  </conditionalFormatting>
  <conditionalFormatting sqref="C23">
    <cfRule type="cellIs" dxfId="0" priority="1" operator="equal">
      <formula>"Pass"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F1BC48F-10E4-4732-AFFF-0A368945293E}">
          <x14:formula1>
            <xm:f>'Thermal Co-efficient data'!$D$7:$Y$7</xm:f>
          </x14:formula1>
          <xm:sqref>C11</xm:sqref>
        </x14:dataValidation>
        <x14:dataValidation type="list" allowBlank="1" showInputMessage="1" showErrorMessage="1" xr:uid="{6A738856-5D3E-4102-B884-1C8F0DD3C238}">
          <x14:formula1>
            <xm:f>'Diameter data'!$B$12:$B$53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FF7B-CC7B-4056-B4DC-7528A7A399CA}">
  <dimension ref="B1:K53"/>
  <sheetViews>
    <sheetView topLeftCell="A6" workbookViewId="0">
      <selection activeCell="L18" sqref="L18"/>
    </sheetView>
  </sheetViews>
  <sheetFormatPr defaultRowHeight="11.25"/>
  <sheetData>
    <row r="1" spans="2:11" ht="12" thickBot="1"/>
    <row r="2" spans="2:11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3" t="s">
        <v>5</v>
      </c>
      <c r="I2" s="3" t="s">
        <v>6</v>
      </c>
      <c r="J2" s="3" t="s">
        <v>7</v>
      </c>
      <c r="K2" s="4" t="s">
        <v>8</v>
      </c>
    </row>
    <row r="3" spans="2:11">
      <c r="B3" s="5" t="s">
        <v>9</v>
      </c>
      <c r="C3" s="6">
        <f>Master!C12</f>
        <v>400</v>
      </c>
      <c r="D3" s="6">
        <f>IFERROR(MATCH(C3,'Thermal Co-efficient data'!C8:C86),"ERROR")</f>
        <v>35</v>
      </c>
      <c r="E3" s="6">
        <f>IFERROR(INDEX('Thermal Co-efficient data'!C8:C86,D3),"ERROR")</f>
        <v>400</v>
      </c>
      <c r="F3" s="6">
        <f>IFERROR(INDEX('Thermal Co-efficient data'!C8:C86,D3+1),"ERROR")</f>
        <v>425</v>
      </c>
      <c r="G3" s="6">
        <f>IFERROR((C3-E3)/(F3-E3),"ERROR")</f>
        <v>0</v>
      </c>
      <c r="H3" s="6">
        <f>H6</f>
        <v>3.8</v>
      </c>
      <c r="I3" s="6">
        <f>H9</f>
        <v>4.0999999999999996</v>
      </c>
      <c r="J3" s="6">
        <f>IFERROR(H3+(I3-H3)*G3,"ERROR")</f>
        <v>3.8</v>
      </c>
      <c r="K3" s="7">
        <f>IFERROR(ROUNDUP(J3*25.4/100/0.3048,3),"ERROR")</f>
        <v>3.1669999999999998</v>
      </c>
    </row>
    <row r="5" spans="2:11">
      <c r="G5" t="s">
        <v>35</v>
      </c>
      <c r="H5" t="str">
        <f>Master!C11</f>
        <v>Austenitic Stainless Steels
18Cr-8Ni</v>
      </c>
    </row>
    <row r="6" spans="2:11">
      <c r="G6">
        <f>E3</f>
        <v>400</v>
      </c>
      <c r="H6">
        <f>DGET('Thermal Co-efficient data'!C7:Y86,H5,G5:G6)</f>
        <v>3.8</v>
      </c>
    </row>
    <row r="8" spans="2:11">
      <c r="G8" t="s">
        <v>35</v>
      </c>
      <c r="H8" t="str">
        <f>Master!C11</f>
        <v>Austenitic Stainless Steels
18Cr-8Ni</v>
      </c>
    </row>
    <row r="9" spans="2:11">
      <c r="G9">
        <f>F3</f>
        <v>425</v>
      </c>
      <c r="H9">
        <f>DGET('Thermal Co-efficient data'!C7:Y86,H8,G8:G9)</f>
        <v>4.0999999999999996</v>
      </c>
    </row>
    <row r="11" spans="2:11">
      <c r="B11" s="17" t="s">
        <v>65</v>
      </c>
      <c r="C11" s="17" t="s">
        <v>66</v>
      </c>
    </row>
    <row r="12" spans="2:11">
      <c r="B12" s="17" t="s">
        <v>67</v>
      </c>
      <c r="C12" s="17">
        <v>21.335999999999999</v>
      </c>
    </row>
    <row r="13" spans="2:11">
      <c r="B13" s="17" t="s">
        <v>68</v>
      </c>
      <c r="C13" s="17">
        <v>26.669999999999998</v>
      </c>
    </row>
    <row r="14" spans="2:11">
      <c r="B14" s="17" t="s">
        <v>69</v>
      </c>
      <c r="C14" s="17">
        <v>33.400999999999996</v>
      </c>
    </row>
    <row r="15" spans="2:11">
      <c r="B15" s="17" t="s">
        <v>70</v>
      </c>
      <c r="C15" s="17">
        <v>42.163999999999994</v>
      </c>
    </row>
    <row r="16" spans="2:11">
      <c r="B16" s="17" t="s">
        <v>71</v>
      </c>
      <c r="C16" s="17">
        <v>48.26</v>
      </c>
    </row>
    <row r="17" spans="2:3">
      <c r="B17" s="17" t="s">
        <v>72</v>
      </c>
      <c r="C17" s="17">
        <v>60.324999999999996</v>
      </c>
    </row>
    <row r="18" spans="2:3">
      <c r="B18" s="17" t="s">
        <v>73</v>
      </c>
      <c r="C18" s="17">
        <v>73.024999999999991</v>
      </c>
    </row>
    <row r="19" spans="2:3">
      <c r="B19" s="17" t="s">
        <v>74</v>
      </c>
      <c r="C19" s="17">
        <v>88.899999999999991</v>
      </c>
    </row>
    <row r="20" spans="2:3">
      <c r="B20" s="17" t="s">
        <v>75</v>
      </c>
      <c r="C20" s="17">
        <v>101.6</v>
      </c>
    </row>
    <row r="21" spans="2:3">
      <c r="B21" s="17" t="s">
        <v>76</v>
      </c>
      <c r="C21" s="17">
        <v>114.3</v>
      </c>
    </row>
    <row r="22" spans="2:3">
      <c r="B22" s="17" t="s">
        <v>77</v>
      </c>
      <c r="C22" s="17">
        <v>127</v>
      </c>
    </row>
    <row r="23" spans="2:3">
      <c r="B23" s="17" t="s">
        <v>78</v>
      </c>
      <c r="C23" s="17">
        <v>168.27499999999998</v>
      </c>
    </row>
    <row r="24" spans="2:3">
      <c r="B24" s="17" t="s">
        <v>79</v>
      </c>
      <c r="C24" s="17">
        <v>219.07499999999999</v>
      </c>
    </row>
    <row r="25" spans="2:3">
      <c r="B25" s="17" t="s">
        <v>80</v>
      </c>
      <c r="C25" s="17">
        <v>273.05</v>
      </c>
    </row>
    <row r="26" spans="2:3">
      <c r="B26" s="17" t="s">
        <v>81</v>
      </c>
      <c r="C26" s="17">
        <v>323.84999999999997</v>
      </c>
    </row>
    <row r="27" spans="2:3">
      <c r="B27" s="17" t="s">
        <v>82</v>
      </c>
      <c r="C27" s="17">
        <v>355.59999999999997</v>
      </c>
    </row>
    <row r="28" spans="2:3">
      <c r="B28" s="17" t="s">
        <v>83</v>
      </c>
      <c r="C28" s="17">
        <v>406.4</v>
      </c>
    </row>
    <row r="29" spans="2:3">
      <c r="B29" s="17" t="s">
        <v>84</v>
      </c>
      <c r="C29" s="17">
        <v>457.2</v>
      </c>
    </row>
    <row r="30" spans="2:3">
      <c r="B30" s="17" t="s">
        <v>85</v>
      </c>
      <c r="C30" s="17">
        <v>508</v>
      </c>
    </row>
    <row r="31" spans="2:3">
      <c r="B31" s="17" t="s">
        <v>86</v>
      </c>
      <c r="C31" s="17">
        <v>558.79999999999995</v>
      </c>
    </row>
    <row r="32" spans="2:3">
      <c r="B32" s="17" t="s">
        <v>87</v>
      </c>
      <c r="C32" s="17">
        <v>609.59999999999991</v>
      </c>
    </row>
    <row r="33" spans="2:3">
      <c r="B33" s="17" t="s">
        <v>88</v>
      </c>
      <c r="C33" s="17">
        <v>660.4</v>
      </c>
    </row>
    <row r="34" spans="2:3">
      <c r="B34" s="17" t="s">
        <v>89</v>
      </c>
      <c r="C34" s="17">
        <v>711.2</v>
      </c>
    </row>
    <row r="35" spans="2:3">
      <c r="B35" s="17" t="s">
        <v>90</v>
      </c>
      <c r="C35" s="17">
        <v>762</v>
      </c>
    </row>
    <row r="36" spans="2:3">
      <c r="B36" s="17" t="s">
        <v>91</v>
      </c>
      <c r="C36" s="17">
        <v>812.8</v>
      </c>
    </row>
    <row r="37" spans="2:3">
      <c r="B37" s="17" t="s">
        <v>92</v>
      </c>
      <c r="C37" s="17">
        <v>863.6</v>
      </c>
    </row>
    <row r="38" spans="2:3">
      <c r="B38" s="17" t="s">
        <v>93</v>
      </c>
      <c r="C38" s="17">
        <v>914.4</v>
      </c>
    </row>
    <row r="39" spans="2:3">
      <c r="B39" s="17" t="s">
        <v>94</v>
      </c>
      <c r="C39" s="17">
        <v>965.2</v>
      </c>
    </row>
    <row r="40" spans="2:3">
      <c r="B40" s="17" t="s">
        <v>95</v>
      </c>
      <c r="C40" s="17">
        <v>1016</v>
      </c>
    </row>
    <row r="41" spans="2:3">
      <c r="B41" s="17" t="s">
        <v>96</v>
      </c>
      <c r="C41" s="17">
        <v>1066.8</v>
      </c>
    </row>
    <row r="42" spans="2:3">
      <c r="B42" s="17" t="s">
        <v>97</v>
      </c>
      <c r="C42" s="17">
        <v>1117.5999999999999</v>
      </c>
    </row>
    <row r="43" spans="2:3">
      <c r="B43" s="17" t="s">
        <v>98</v>
      </c>
      <c r="C43" s="17">
        <v>1168.4000000000001</v>
      </c>
    </row>
    <row r="44" spans="2:3">
      <c r="B44" s="17" t="s">
        <v>99</v>
      </c>
      <c r="C44" s="17">
        <v>1219.2</v>
      </c>
    </row>
    <row r="45" spans="2:3">
      <c r="B45" s="17" t="s">
        <v>100</v>
      </c>
      <c r="C45" s="17">
        <v>1320.8</v>
      </c>
    </row>
    <row r="46" spans="2:3">
      <c r="B46" s="17" t="s">
        <v>101</v>
      </c>
      <c r="C46" s="17">
        <v>1422.4</v>
      </c>
    </row>
    <row r="47" spans="2:3">
      <c r="B47" s="17" t="s">
        <v>102</v>
      </c>
      <c r="C47" s="17">
        <v>1524</v>
      </c>
    </row>
    <row r="48" spans="2:3">
      <c r="B48" s="17" t="s">
        <v>103</v>
      </c>
      <c r="C48" s="17">
        <v>1625.6</v>
      </c>
    </row>
    <row r="49" spans="2:3">
      <c r="B49" s="17" t="s">
        <v>104</v>
      </c>
      <c r="C49" s="17">
        <v>1676.4</v>
      </c>
    </row>
    <row r="50" spans="2:3">
      <c r="B50" s="17" t="s">
        <v>105</v>
      </c>
      <c r="C50" s="17">
        <v>1727.2</v>
      </c>
    </row>
    <row r="51" spans="2:3">
      <c r="B51" s="17" t="s">
        <v>106</v>
      </c>
      <c r="C51" s="17">
        <v>1828.8</v>
      </c>
    </row>
    <row r="52" spans="2:3">
      <c r="B52" s="17" t="s">
        <v>107</v>
      </c>
      <c r="C52" s="17">
        <v>1930.4</v>
      </c>
    </row>
    <row r="53" spans="2:3">
      <c r="B53" s="17" t="s">
        <v>108</v>
      </c>
      <c r="C53" s="17">
        <v>2032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14C1-AF1A-4CEA-B121-0CF2F041827D}">
  <dimension ref="A1:AA124"/>
  <sheetViews>
    <sheetView topLeftCell="A118" workbookViewId="0">
      <selection activeCell="K142" sqref="K142"/>
    </sheetView>
  </sheetViews>
  <sheetFormatPr defaultRowHeight="11.25"/>
  <cols>
    <col min="3" max="3" width="24.1640625" customWidth="1"/>
  </cols>
  <sheetData>
    <row r="1" spans="1:27">
      <c r="A1">
        <v>0</v>
      </c>
      <c r="B1">
        <v>1</v>
      </c>
      <c r="C1" t="s">
        <v>31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>
      <c r="A2">
        <v>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0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32</v>
      </c>
      <c r="B4">
        <v>4</v>
      </c>
      <c r="C4" t="s">
        <v>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>
        <v>0</v>
      </c>
      <c r="B5">
        <v>5</v>
      </c>
      <c r="C5" t="s">
        <v>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0</v>
      </c>
      <c r="B6">
        <v>6</v>
      </c>
      <c r="C6">
        <v>0</v>
      </c>
      <c r="D6" t="s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0</v>
      </c>
      <c r="B7">
        <v>7</v>
      </c>
      <c r="C7" t="s">
        <v>35</v>
      </c>
      <c r="D7" t="s">
        <v>30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>
        <v>0</v>
      </c>
      <c r="AA7">
        <v>0</v>
      </c>
    </row>
    <row r="8" spans="1:27">
      <c r="A8">
        <v>0</v>
      </c>
      <c r="B8">
        <v>8</v>
      </c>
      <c r="C8">
        <v>-450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>
        <v>-3.93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15</v>
      </c>
      <c r="Z8">
        <v>0</v>
      </c>
      <c r="AA8">
        <v>0</v>
      </c>
    </row>
    <row r="9" spans="1:27">
      <c r="A9">
        <v>0</v>
      </c>
      <c r="B9">
        <v>9</v>
      </c>
      <c r="C9">
        <v>-425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>
        <v>-3.93</v>
      </c>
      <c r="L9" t="s">
        <v>15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15</v>
      </c>
      <c r="S9" t="s">
        <v>15</v>
      </c>
      <c r="T9" t="s">
        <v>15</v>
      </c>
      <c r="U9" t="s">
        <v>15</v>
      </c>
      <c r="V9" t="s">
        <v>15</v>
      </c>
      <c r="W9" t="s">
        <v>15</v>
      </c>
      <c r="X9" t="s">
        <v>15</v>
      </c>
      <c r="Y9">
        <v>-0.48</v>
      </c>
      <c r="Z9">
        <v>0</v>
      </c>
      <c r="AA9">
        <v>0</v>
      </c>
    </row>
    <row r="10" spans="1:27">
      <c r="A10">
        <v>0</v>
      </c>
      <c r="B10">
        <v>10</v>
      </c>
      <c r="C10">
        <v>-400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>
        <v>-3.91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15</v>
      </c>
      <c r="Y10">
        <v>-0.48</v>
      </c>
      <c r="Z10">
        <v>0</v>
      </c>
      <c r="AA10">
        <v>0</v>
      </c>
    </row>
    <row r="11" spans="1:27">
      <c r="A11">
        <v>0</v>
      </c>
      <c r="B11">
        <v>11</v>
      </c>
      <c r="C11">
        <v>-375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>
        <v>-3.87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15</v>
      </c>
      <c r="Y11">
        <v>-0.48</v>
      </c>
      <c r="Z11">
        <v>0</v>
      </c>
      <c r="AA11">
        <v>0</v>
      </c>
    </row>
    <row r="12" spans="1:27">
      <c r="A12">
        <v>0</v>
      </c>
      <c r="B12">
        <v>12</v>
      </c>
      <c r="C12">
        <v>-350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>
        <v>-3.79</v>
      </c>
      <c r="L12" t="s">
        <v>15</v>
      </c>
      <c r="M12" t="s">
        <v>15</v>
      </c>
      <c r="N12" t="s">
        <v>15</v>
      </c>
      <c r="O12" t="s">
        <v>15</v>
      </c>
      <c r="P12" t="s">
        <v>15</v>
      </c>
      <c r="Q12" t="s">
        <v>15</v>
      </c>
      <c r="R12" t="s">
        <v>15</v>
      </c>
      <c r="S12" t="s">
        <v>15</v>
      </c>
      <c r="T12" t="s">
        <v>15</v>
      </c>
      <c r="U12" t="s">
        <v>15</v>
      </c>
      <c r="V12" t="s">
        <v>15</v>
      </c>
      <c r="W12" t="s">
        <v>15</v>
      </c>
      <c r="X12" t="s">
        <v>15</v>
      </c>
      <c r="Y12">
        <v>-0.48</v>
      </c>
      <c r="Z12">
        <v>0</v>
      </c>
      <c r="AA12">
        <v>0</v>
      </c>
    </row>
    <row r="13" spans="1:27">
      <c r="A13">
        <v>0</v>
      </c>
      <c r="B13">
        <v>14</v>
      </c>
      <c r="C13">
        <v>-325</v>
      </c>
      <c r="D13">
        <v>-2.37</v>
      </c>
      <c r="E13">
        <v>-2.2200000000000002</v>
      </c>
      <c r="F13">
        <v>-3.85</v>
      </c>
      <c r="G13">
        <v>-2.04</v>
      </c>
      <c r="H13" t="s">
        <v>15</v>
      </c>
      <c r="I13">
        <v>-2.62</v>
      </c>
      <c r="J13">
        <v>-2.25</v>
      </c>
      <c r="K13">
        <v>-3.67</v>
      </c>
      <c r="L13" t="s">
        <v>15</v>
      </c>
      <c r="M13" t="s">
        <v>15</v>
      </c>
      <c r="N13" t="s">
        <v>15</v>
      </c>
      <c r="O13">
        <v>-4.68</v>
      </c>
      <c r="P13" t="s">
        <v>15</v>
      </c>
      <c r="Q13">
        <v>-3.98</v>
      </c>
      <c r="R13">
        <v>-3.88</v>
      </c>
      <c r="S13">
        <v>-3.15</v>
      </c>
      <c r="T13" t="s">
        <v>15</v>
      </c>
      <c r="U13" t="s">
        <v>15</v>
      </c>
      <c r="V13" t="s">
        <v>15</v>
      </c>
      <c r="W13" t="s">
        <v>15</v>
      </c>
      <c r="X13" t="s">
        <v>15</v>
      </c>
      <c r="Y13">
        <v>-0.47</v>
      </c>
      <c r="Z13">
        <v>0</v>
      </c>
      <c r="AA13">
        <v>0</v>
      </c>
    </row>
    <row r="14" spans="1:27">
      <c r="A14">
        <v>0</v>
      </c>
      <c r="B14">
        <v>15</v>
      </c>
      <c r="C14">
        <v>-300</v>
      </c>
      <c r="D14">
        <v>-2.2400000000000002</v>
      </c>
      <c r="E14">
        <v>-2.1</v>
      </c>
      <c r="F14">
        <v>-3.63</v>
      </c>
      <c r="G14">
        <v>-1.92</v>
      </c>
      <c r="H14" t="s">
        <v>15</v>
      </c>
      <c r="I14">
        <v>-2.5</v>
      </c>
      <c r="J14">
        <v>-2.17</v>
      </c>
      <c r="K14">
        <v>-3.53</v>
      </c>
      <c r="L14" t="s">
        <v>15</v>
      </c>
      <c r="M14" t="s">
        <v>15</v>
      </c>
      <c r="N14" t="s">
        <v>15</v>
      </c>
      <c r="O14">
        <v>-4.46</v>
      </c>
      <c r="P14" t="s">
        <v>15</v>
      </c>
      <c r="Q14">
        <v>-3.74</v>
      </c>
      <c r="R14">
        <v>-3.64</v>
      </c>
      <c r="S14">
        <v>-2.87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>
        <v>-0.44</v>
      </c>
      <c r="Z14">
        <v>0</v>
      </c>
      <c r="AA14">
        <v>0</v>
      </c>
    </row>
    <row r="15" spans="1:27">
      <c r="A15">
        <v>0</v>
      </c>
      <c r="B15">
        <v>16</v>
      </c>
      <c r="C15">
        <v>-275</v>
      </c>
      <c r="D15">
        <v>-2.11</v>
      </c>
      <c r="E15">
        <v>-1.98</v>
      </c>
      <c r="F15">
        <v>-3.41</v>
      </c>
      <c r="G15">
        <v>-1.8</v>
      </c>
      <c r="H15" t="s">
        <v>15</v>
      </c>
      <c r="I15">
        <v>-2.38</v>
      </c>
      <c r="J15">
        <v>-2.0699999999999998</v>
      </c>
      <c r="K15">
        <v>-3.36</v>
      </c>
      <c r="L15" t="s">
        <v>15</v>
      </c>
      <c r="M15" t="s">
        <v>15</v>
      </c>
      <c r="N15" t="s">
        <v>15</v>
      </c>
      <c r="O15">
        <v>-4.21</v>
      </c>
      <c r="P15" t="s">
        <v>15</v>
      </c>
      <c r="Q15">
        <v>-3.5</v>
      </c>
      <c r="R15">
        <v>-3.4</v>
      </c>
      <c r="S15">
        <v>-2.7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>
        <v>-0.42</v>
      </c>
      <c r="Z15">
        <v>0</v>
      </c>
      <c r="AA15">
        <v>0</v>
      </c>
    </row>
    <row r="16" spans="1:27">
      <c r="A16">
        <v>0</v>
      </c>
      <c r="B16">
        <v>17</v>
      </c>
      <c r="C16">
        <v>-250</v>
      </c>
      <c r="D16">
        <v>-1.98</v>
      </c>
      <c r="E16">
        <v>-1.86</v>
      </c>
      <c r="F16">
        <v>-3.19</v>
      </c>
      <c r="G16">
        <v>-1.68</v>
      </c>
      <c r="H16" t="s">
        <v>15</v>
      </c>
      <c r="I16">
        <v>-2.2599999999999998</v>
      </c>
      <c r="J16">
        <v>-1.96</v>
      </c>
      <c r="K16">
        <v>-3.17</v>
      </c>
      <c r="L16" t="s">
        <v>15</v>
      </c>
      <c r="M16" t="s">
        <v>15</v>
      </c>
      <c r="N16" t="s">
        <v>15</v>
      </c>
      <c r="O16">
        <v>-3.97</v>
      </c>
      <c r="P16" t="s">
        <v>15</v>
      </c>
      <c r="Q16">
        <v>-3.26</v>
      </c>
      <c r="R16">
        <v>-3.16</v>
      </c>
      <c r="S16">
        <v>-2.5299999999999998</v>
      </c>
      <c r="T16" t="s">
        <v>15</v>
      </c>
      <c r="U16" t="s">
        <v>15</v>
      </c>
      <c r="V16" t="s">
        <v>15</v>
      </c>
      <c r="W16" t="s">
        <v>15</v>
      </c>
      <c r="X16" t="s">
        <v>15</v>
      </c>
      <c r="Y16">
        <v>-0.38</v>
      </c>
      <c r="Z16">
        <v>0</v>
      </c>
      <c r="AA16">
        <v>0</v>
      </c>
    </row>
    <row r="17" spans="1:27">
      <c r="A17">
        <v>0</v>
      </c>
      <c r="B17">
        <v>19</v>
      </c>
      <c r="C17">
        <v>-225</v>
      </c>
      <c r="D17">
        <v>-1.85</v>
      </c>
      <c r="E17">
        <v>-1.74</v>
      </c>
      <c r="F17">
        <v>-2.96</v>
      </c>
      <c r="G17">
        <v>-1.57</v>
      </c>
      <c r="H17" t="s">
        <v>15</v>
      </c>
      <c r="I17">
        <v>-2.14</v>
      </c>
      <c r="J17">
        <v>-1.86</v>
      </c>
      <c r="K17">
        <v>-2.97</v>
      </c>
      <c r="L17" t="s">
        <v>15</v>
      </c>
      <c r="M17" t="s">
        <v>15</v>
      </c>
      <c r="N17" t="s">
        <v>15</v>
      </c>
      <c r="O17">
        <v>-3.71</v>
      </c>
      <c r="P17" t="s">
        <v>15</v>
      </c>
      <c r="Q17">
        <v>-3.02</v>
      </c>
      <c r="R17">
        <v>-2.93</v>
      </c>
      <c r="S17">
        <v>-2.36</v>
      </c>
      <c r="T17" t="s">
        <v>15</v>
      </c>
      <c r="U17" t="s">
        <v>15</v>
      </c>
      <c r="V17" t="s">
        <v>15</v>
      </c>
      <c r="W17" t="s">
        <v>15</v>
      </c>
      <c r="X17" t="s">
        <v>15</v>
      </c>
      <c r="Y17">
        <v>-0.35</v>
      </c>
      <c r="Z17">
        <v>0</v>
      </c>
      <c r="AA17">
        <v>0</v>
      </c>
    </row>
    <row r="18" spans="1:27">
      <c r="A18">
        <v>0</v>
      </c>
      <c r="B18">
        <v>20</v>
      </c>
      <c r="C18">
        <v>-200</v>
      </c>
      <c r="D18">
        <v>-1.71</v>
      </c>
      <c r="E18">
        <v>-1.62</v>
      </c>
      <c r="F18">
        <v>-2.73</v>
      </c>
      <c r="G18">
        <v>-1.46</v>
      </c>
      <c r="H18" t="s">
        <v>15</v>
      </c>
      <c r="I18">
        <v>-2.02</v>
      </c>
      <c r="J18">
        <v>-1.76</v>
      </c>
      <c r="K18">
        <v>-2.76</v>
      </c>
      <c r="L18" t="s">
        <v>15</v>
      </c>
      <c r="M18" t="s">
        <v>15</v>
      </c>
      <c r="N18" t="s">
        <v>15</v>
      </c>
      <c r="O18">
        <v>-3.44</v>
      </c>
      <c r="P18" t="s">
        <v>15</v>
      </c>
      <c r="Q18">
        <v>-2.78</v>
      </c>
      <c r="R18">
        <v>-2.7</v>
      </c>
      <c r="S18">
        <v>-2.19</v>
      </c>
      <c r="T18" t="s">
        <v>15</v>
      </c>
      <c r="U18" t="s">
        <v>15</v>
      </c>
      <c r="V18" t="s">
        <v>15</v>
      </c>
      <c r="W18" t="s">
        <v>15</v>
      </c>
      <c r="X18">
        <v>-1.51</v>
      </c>
      <c r="Y18">
        <v>-0.31</v>
      </c>
      <c r="Z18">
        <v>0</v>
      </c>
      <c r="AA18">
        <v>0</v>
      </c>
    </row>
    <row r="19" spans="1:27">
      <c r="A19">
        <v>0</v>
      </c>
      <c r="B19">
        <v>21</v>
      </c>
      <c r="C19">
        <v>-175</v>
      </c>
      <c r="D19">
        <v>-1.58</v>
      </c>
      <c r="E19">
        <v>-1.5</v>
      </c>
      <c r="F19">
        <v>-2.5</v>
      </c>
      <c r="G19">
        <v>-1.35</v>
      </c>
      <c r="H19" t="s">
        <v>15</v>
      </c>
      <c r="I19">
        <v>-1.9</v>
      </c>
      <c r="J19">
        <v>-1.62</v>
      </c>
      <c r="K19">
        <v>-2.5299999999999998</v>
      </c>
      <c r="L19" t="s">
        <v>15</v>
      </c>
      <c r="M19" t="s">
        <v>15</v>
      </c>
      <c r="N19" t="s">
        <v>15</v>
      </c>
      <c r="O19">
        <v>-3.16</v>
      </c>
      <c r="P19" t="s">
        <v>15</v>
      </c>
      <c r="Q19">
        <v>-2.54</v>
      </c>
      <c r="R19">
        <v>-2.4700000000000002</v>
      </c>
      <c r="S19">
        <v>-2.12</v>
      </c>
      <c r="T19" t="s">
        <v>15</v>
      </c>
      <c r="U19" t="s">
        <v>15</v>
      </c>
      <c r="V19" t="s">
        <v>15</v>
      </c>
      <c r="W19" t="s">
        <v>15</v>
      </c>
      <c r="X19">
        <v>-1.41</v>
      </c>
      <c r="Y19">
        <v>-0.28000000000000003</v>
      </c>
      <c r="Z19">
        <v>0</v>
      </c>
      <c r="AA19">
        <v>0</v>
      </c>
    </row>
    <row r="20" spans="1:27">
      <c r="A20">
        <v>0</v>
      </c>
      <c r="B20">
        <v>22</v>
      </c>
      <c r="C20">
        <v>-150</v>
      </c>
      <c r="D20">
        <v>-1.45</v>
      </c>
      <c r="E20">
        <v>-1.37</v>
      </c>
      <c r="F20">
        <v>-2.27</v>
      </c>
      <c r="G20">
        <v>-1.24</v>
      </c>
      <c r="H20" t="s">
        <v>15</v>
      </c>
      <c r="I20">
        <v>-1.79</v>
      </c>
      <c r="J20">
        <v>-1.48</v>
      </c>
      <c r="K20">
        <v>-2.2999999999999998</v>
      </c>
      <c r="L20" t="s">
        <v>15</v>
      </c>
      <c r="M20" t="s">
        <v>15</v>
      </c>
      <c r="N20" t="s">
        <v>15</v>
      </c>
      <c r="O20">
        <v>-2.88</v>
      </c>
      <c r="P20" t="s">
        <v>15</v>
      </c>
      <c r="Q20">
        <v>-2.31</v>
      </c>
      <c r="R20">
        <v>-2.2400000000000002</v>
      </c>
      <c r="S20">
        <v>-1.95</v>
      </c>
      <c r="T20" t="s">
        <v>15</v>
      </c>
      <c r="U20" t="s">
        <v>15</v>
      </c>
      <c r="V20" t="s">
        <v>15</v>
      </c>
      <c r="W20" t="s">
        <v>15</v>
      </c>
      <c r="X20">
        <v>-1.29</v>
      </c>
      <c r="Y20">
        <v>-0.24</v>
      </c>
      <c r="Z20">
        <v>0</v>
      </c>
      <c r="AA20">
        <v>0</v>
      </c>
    </row>
    <row r="21" spans="1:27">
      <c r="A21">
        <v>0</v>
      </c>
      <c r="B21">
        <v>24</v>
      </c>
      <c r="C21">
        <v>-125</v>
      </c>
      <c r="D21">
        <v>-1.3</v>
      </c>
      <c r="E21">
        <v>-1.23</v>
      </c>
      <c r="F21">
        <v>-2.0099999999999998</v>
      </c>
      <c r="G21">
        <v>-1.1100000000000001</v>
      </c>
      <c r="H21" t="s">
        <v>15</v>
      </c>
      <c r="I21">
        <v>-1.59</v>
      </c>
      <c r="J21">
        <v>-1.33</v>
      </c>
      <c r="K21">
        <v>-2.06</v>
      </c>
      <c r="L21" t="s">
        <v>15</v>
      </c>
      <c r="M21" t="s">
        <v>15</v>
      </c>
      <c r="N21" t="s">
        <v>15</v>
      </c>
      <c r="O21">
        <v>-2.57</v>
      </c>
      <c r="P21" t="s">
        <v>15</v>
      </c>
      <c r="Q21">
        <v>-2.06</v>
      </c>
      <c r="R21">
        <v>-2</v>
      </c>
      <c r="S21">
        <v>-1.74</v>
      </c>
      <c r="T21" t="s">
        <v>15</v>
      </c>
      <c r="U21" t="s">
        <v>15</v>
      </c>
      <c r="V21" t="s">
        <v>15</v>
      </c>
      <c r="W21" t="s">
        <v>15</v>
      </c>
      <c r="X21">
        <v>-1.1599999999999999</v>
      </c>
      <c r="Y21">
        <v>-0.2</v>
      </c>
      <c r="Z21">
        <v>0</v>
      </c>
      <c r="AA21">
        <v>0</v>
      </c>
    </row>
    <row r="22" spans="1:27">
      <c r="A22">
        <v>0</v>
      </c>
      <c r="B22">
        <v>25</v>
      </c>
      <c r="C22">
        <v>-100</v>
      </c>
      <c r="D22">
        <v>-1.1499999999999999</v>
      </c>
      <c r="E22">
        <v>-1.08</v>
      </c>
      <c r="F22">
        <v>-1.75</v>
      </c>
      <c r="G22">
        <v>-0.98</v>
      </c>
      <c r="H22" t="s">
        <v>15</v>
      </c>
      <c r="I22">
        <v>-1.38</v>
      </c>
      <c r="J22">
        <v>-1.17</v>
      </c>
      <c r="K22">
        <v>-1.81</v>
      </c>
      <c r="L22" t="s">
        <v>15</v>
      </c>
      <c r="M22" t="s">
        <v>15</v>
      </c>
      <c r="N22" t="s">
        <v>15</v>
      </c>
      <c r="O22">
        <v>-2.27</v>
      </c>
      <c r="P22" t="s">
        <v>15</v>
      </c>
      <c r="Q22">
        <v>-1.81</v>
      </c>
      <c r="R22">
        <v>-1.76</v>
      </c>
      <c r="S22">
        <v>-1.53</v>
      </c>
      <c r="T22" t="s">
        <v>15</v>
      </c>
      <c r="U22" t="s">
        <v>15</v>
      </c>
      <c r="V22" t="s">
        <v>15</v>
      </c>
      <c r="W22" t="s">
        <v>15</v>
      </c>
      <c r="X22">
        <v>-1.04</v>
      </c>
      <c r="Y22">
        <v>-0.18</v>
      </c>
      <c r="Z22">
        <v>0</v>
      </c>
      <c r="AA22">
        <v>0</v>
      </c>
    </row>
    <row r="23" spans="1:27">
      <c r="A23">
        <v>0</v>
      </c>
      <c r="B23">
        <v>26</v>
      </c>
      <c r="C23">
        <v>-75</v>
      </c>
      <c r="D23">
        <v>-1</v>
      </c>
      <c r="E23">
        <v>-0.94</v>
      </c>
      <c r="F23">
        <v>-1.5</v>
      </c>
      <c r="G23">
        <v>-0.85</v>
      </c>
      <c r="H23" t="s">
        <v>15</v>
      </c>
      <c r="I23">
        <v>-1.18</v>
      </c>
      <c r="J23">
        <v>-1.01</v>
      </c>
      <c r="K23">
        <v>-1.56</v>
      </c>
      <c r="L23" t="s">
        <v>15</v>
      </c>
      <c r="M23" t="s">
        <v>15</v>
      </c>
      <c r="N23" t="s">
        <v>15</v>
      </c>
      <c r="O23">
        <v>-1.97</v>
      </c>
      <c r="P23" t="s">
        <v>15</v>
      </c>
      <c r="Q23">
        <v>-1.56</v>
      </c>
      <c r="R23">
        <v>-1.52</v>
      </c>
      <c r="S23">
        <v>-1.33</v>
      </c>
      <c r="T23" t="s">
        <v>15</v>
      </c>
      <c r="U23" t="s">
        <v>15</v>
      </c>
      <c r="V23" t="s">
        <v>15</v>
      </c>
      <c r="W23" t="s">
        <v>15</v>
      </c>
      <c r="X23">
        <v>-0.91</v>
      </c>
      <c r="Y23">
        <v>-0.16</v>
      </c>
      <c r="Z23">
        <v>0</v>
      </c>
      <c r="AA23">
        <v>0</v>
      </c>
    </row>
    <row r="24" spans="1:27">
      <c r="A24">
        <v>0</v>
      </c>
      <c r="B24">
        <v>27</v>
      </c>
      <c r="C24">
        <v>-50</v>
      </c>
      <c r="D24">
        <v>-0.84</v>
      </c>
      <c r="E24">
        <v>-0.79</v>
      </c>
      <c r="F24">
        <v>-1.24</v>
      </c>
      <c r="G24">
        <v>-0.72</v>
      </c>
      <c r="H24" t="s">
        <v>15</v>
      </c>
      <c r="I24">
        <v>-0.98</v>
      </c>
      <c r="J24">
        <v>-0.84</v>
      </c>
      <c r="K24">
        <v>-1.3</v>
      </c>
      <c r="L24" t="s">
        <v>15</v>
      </c>
      <c r="M24" t="s">
        <v>15</v>
      </c>
      <c r="N24" t="s">
        <v>15</v>
      </c>
      <c r="O24">
        <v>-1.67</v>
      </c>
      <c r="P24" t="s">
        <v>15</v>
      </c>
      <c r="Q24">
        <v>-1.32</v>
      </c>
      <c r="R24">
        <v>-1.29</v>
      </c>
      <c r="S24">
        <v>-1.1299999999999999</v>
      </c>
      <c r="T24" t="s">
        <v>15</v>
      </c>
      <c r="U24" t="s">
        <v>15</v>
      </c>
      <c r="V24" t="s">
        <v>15</v>
      </c>
      <c r="W24" t="s">
        <v>15</v>
      </c>
      <c r="X24">
        <v>-0.77</v>
      </c>
      <c r="Y24">
        <v>-0.12</v>
      </c>
      <c r="Z24">
        <v>0</v>
      </c>
      <c r="AA24">
        <v>0</v>
      </c>
    </row>
    <row r="25" spans="1:27">
      <c r="A25">
        <v>0</v>
      </c>
      <c r="B25">
        <v>29</v>
      </c>
      <c r="C25">
        <v>-25</v>
      </c>
      <c r="D25">
        <v>-0.68</v>
      </c>
      <c r="E25">
        <v>-0.63</v>
      </c>
      <c r="F25">
        <v>-0.98</v>
      </c>
      <c r="G25">
        <v>-0.56999999999999995</v>
      </c>
      <c r="H25" t="s">
        <v>15</v>
      </c>
      <c r="I25">
        <v>-0.77</v>
      </c>
      <c r="J25">
        <v>-0.67</v>
      </c>
      <c r="K25">
        <v>-1.04</v>
      </c>
      <c r="L25" t="s">
        <v>15</v>
      </c>
      <c r="M25" t="s">
        <v>15</v>
      </c>
      <c r="N25" t="s">
        <v>15</v>
      </c>
      <c r="O25">
        <v>-1.32</v>
      </c>
      <c r="P25" t="s">
        <v>15</v>
      </c>
      <c r="Q25">
        <v>-1.25</v>
      </c>
      <c r="R25">
        <v>-1.02</v>
      </c>
      <c r="S25">
        <v>-0.89</v>
      </c>
      <c r="T25" t="s">
        <v>15</v>
      </c>
      <c r="U25" t="s">
        <v>15</v>
      </c>
      <c r="V25" t="s">
        <v>15</v>
      </c>
      <c r="W25" t="s">
        <v>15</v>
      </c>
      <c r="X25">
        <v>-0.62</v>
      </c>
      <c r="Y25">
        <v>-0.08</v>
      </c>
      <c r="Z25">
        <v>0</v>
      </c>
      <c r="AA25">
        <v>0</v>
      </c>
    </row>
    <row r="26" spans="1:27">
      <c r="A26">
        <v>0</v>
      </c>
      <c r="B26">
        <v>30</v>
      </c>
      <c r="C26">
        <v>0</v>
      </c>
      <c r="D26">
        <v>-0.49</v>
      </c>
      <c r="E26">
        <v>-0.46</v>
      </c>
      <c r="F26">
        <v>-0.72</v>
      </c>
      <c r="G26">
        <v>-0.42</v>
      </c>
      <c r="H26" t="s">
        <v>15</v>
      </c>
      <c r="I26">
        <v>-0.56999999999999995</v>
      </c>
      <c r="J26">
        <v>-0.5</v>
      </c>
      <c r="K26">
        <v>-0.77</v>
      </c>
      <c r="L26" t="s">
        <v>15</v>
      </c>
      <c r="M26" t="s">
        <v>15</v>
      </c>
      <c r="N26" t="s">
        <v>15</v>
      </c>
      <c r="O26">
        <v>-0.97</v>
      </c>
      <c r="P26" t="s">
        <v>15</v>
      </c>
      <c r="Q26">
        <v>-0.77</v>
      </c>
      <c r="R26">
        <v>-0.75</v>
      </c>
      <c r="S26">
        <v>-0.66</v>
      </c>
      <c r="T26" t="s">
        <v>15</v>
      </c>
      <c r="U26" t="s">
        <v>15</v>
      </c>
      <c r="V26" t="s">
        <v>15</v>
      </c>
      <c r="W26" t="s">
        <v>15</v>
      </c>
      <c r="X26">
        <v>-0.46</v>
      </c>
      <c r="Y26">
        <v>-0.06</v>
      </c>
      <c r="Z26">
        <v>0</v>
      </c>
      <c r="AA26">
        <v>0</v>
      </c>
    </row>
    <row r="27" spans="1:27">
      <c r="A27">
        <v>0</v>
      </c>
      <c r="B27">
        <v>31</v>
      </c>
      <c r="C27">
        <v>25</v>
      </c>
      <c r="D27">
        <v>-0.32</v>
      </c>
      <c r="E27">
        <v>-0.3</v>
      </c>
      <c r="F27">
        <v>-0.46</v>
      </c>
      <c r="G27">
        <v>-0.27</v>
      </c>
      <c r="H27" t="s">
        <v>15</v>
      </c>
      <c r="I27">
        <v>-0.37</v>
      </c>
      <c r="J27">
        <v>-0.32</v>
      </c>
      <c r="K27">
        <v>-0.5</v>
      </c>
      <c r="L27" t="s">
        <v>15</v>
      </c>
      <c r="M27" t="s">
        <v>15</v>
      </c>
      <c r="N27" t="s">
        <v>15</v>
      </c>
      <c r="O27">
        <v>-0.63</v>
      </c>
      <c r="P27" t="s">
        <v>15</v>
      </c>
      <c r="Q27">
        <v>-0.49</v>
      </c>
      <c r="R27">
        <v>-0.48</v>
      </c>
      <c r="S27">
        <v>-0.42</v>
      </c>
      <c r="T27" t="s">
        <v>15</v>
      </c>
      <c r="U27" t="s">
        <v>15</v>
      </c>
      <c r="V27" t="s">
        <v>15</v>
      </c>
      <c r="W27" t="s">
        <v>15</v>
      </c>
      <c r="X27">
        <v>-0.23</v>
      </c>
      <c r="Y27">
        <v>-0.02</v>
      </c>
      <c r="Z27">
        <v>0</v>
      </c>
      <c r="AA27">
        <v>0</v>
      </c>
    </row>
    <row r="28" spans="1:27">
      <c r="A28">
        <v>0</v>
      </c>
      <c r="B28">
        <v>32</v>
      </c>
      <c r="C28">
        <v>50</v>
      </c>
      <c r="D28">
        <v>-0.14000000000000001</v>
      </c>
      <c r="E28">
        <v>-0.13</v>
      </c>
      <c r="F28">
        <v>-0.21</v>
      </c>
      <c r="G28">
        <v>-0.12</v>
      </c>
      <c r="H28" t="s">
        <v>15</v>
      </c>
      <c r="I28">
        <v>-0.2</v>
      </c>
      <c r="J28">
        <v>-0.15</v>
      </c>
      <c r="K28">
        <v>-0.22</v>
      </c>
      <c r="L28" t="s">
        <v>15</v>
      </c>
      <c r="M28" t="s">
        <v>15</v>
      </c>
      <c r="N28" t="s">
        <v>15</v>
      </c>
      <c r="O28">
        <v>-0.28000000000000003</v>
      </c>
      <c r="P28" t="s">
        <v>15</v>
      </c>
      <c r="Q28">
        <v>-0.22</v>
      </c>
      <c r="R28">
        <v>-0.21</v>
      </c>
      <c r="S28">
        <v>-0.19</v>
      </c>
      <c r="T28" t="s">
        <v>15</v>
      </c>
      <c r="U28" t="s">
        <v>15</v>
      </c>
      <c r="V28" t="s">
        <v>15</v>
      </c>
      <c r="W28" t="s">
        <v>15</v>
      </c>
      <c r="X28">
        <v>-0.14000000000000001</v>
      </c>
      <c r="Y28">
        <v>-0.01</v>
      </c>
      <c r="Z28">
        <v>0</v>
      </c>
      <c r="AA28">
        <v>0</v>
      </c>
    </row>
    <row r="29" spans="1:27">
      <c r="A29">
        <v>0</v>
      </c>
      <c r="B29">
        <v>34</v>
      </c>
      <c r="C29">
        <v>70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>
        <v>0</v>
      </c>
      <c r="B30">
        <v>35</v>
      </c>
      <c r="C30">
        <v>100</v>
      </c>
      <c r="D30">
        <v>0.23</v>
      </c>
      <c r="E30">
        <v>0.22</v>
      </c>
      <c r="F30">
        <v>0.34</v>
      </c>
      <c r="G30">
        <v>0.2</v>
      </c>
      <c r="H30">
        <v>0.32</v>
      </c>
      <c r="I30">
        <v>0.28000000000000003</v>
      </c>
      <c r="J30">
        <v>0.23</v>
      </c>
      <c r="K30">
        <v>0.34</v>
      </c>
      <c r="L30">
        <v>0.2</v>
      </c>
      <c r="M30">
        <v>0.2</v>
      </c>
      <c r="N30">
        <v>0.2</v>
      </c>
      <c r="O30">
        <v>0.46</v>
      </c>
      <c r="P30">
        <v>0.21</v>
      </c>
      <c r="Q30">
        <v>0.36</v>
      </c>
      <c r="R30">
        <v>0.35</v>
      </c>
      <c r="S30">
        <v>0.31</v>
      </c>
      <c r="T30">
        <v>0.28000000000000003</v>
      </c>
      <c r="U30">
        <v>0.26</v>
      </c>
      <c r="V30">
        <v>0.24</v>
      </c>
      <c r="W30">
        <v>0.25</v>
      </c>
      <c r="X30">
        <v>0.21</v>
      </c>
      <c r="Y30">
        <v>0.02</v>
      </c>
      <c r="Z30">
        <v>0</v>
      </c>
      <c r="AA30">
        <v>0</v>
      </c>
    </row>
    <row r="31" spans="1:27">
      <c r="A31">
        <v>0</v>
      </c>
      <c r="B31">
        <v>36</v>
      </c>
      <c r="C31">
        <v>125</v>
      </c>
      <c r="D31">
        <v>0.42</v>
      </c>
      <c r="E31">
        <v>0.4</v>
      </c>
      <c r="F31">
        <v>0.62</v>
      </c>
      <c r="G31">
        <v>0.36</v>
      </c>
      <c r="H31">
        <v>0.57999999999999996</v>
      </c>
      <c r="I31">
        <v>0.52</v>
      </c>
      <c r="J31">
        <v>0.42</v>
      </c>
      <c r="K31">
        <v>0.63</v>
      </c>
      <c r="L31">
        <v>0.35</v>
      </c>
      <c r="M31">
        <v>0.35</v>
      </c>
      <c r="N31">
        <v>0.4</v>
      </c>
      <c r="O31">
        <v>0.85</v>
      </c>
      <c r="P31">
        <v>0.38</v>
      </c>
      <c r="Q31">
        <v>0.66</v>
      </c>
      <c r="R31">
        <v>0.64</v>
      </c>
      <c r="S31">
        <v>0.56000000000000005</v>
      </c>
      <c r="T31">
        <v>0.52</v>
      </c>
      <c r="U31">
        <v>0.48</v>
      </c>
      <c r="V31">
        <v>0.44</v>
      </c>
      <c r="W31">
        <v>0.46</v>
      </c>
      <c r="X31">
        <v>0.39</v>
      </c>
      <c r="Y31">
        <v>0.05</v>
      </c>
      <c r="Z31">
        <v>0</v>
      </c>
      <c r="AA31">
        <v>0</v>
      </c>
    </row>
    <row r="32" spans="1:27">
      <c r="A32">
        <v>0</v>
      </c>
      <c r="B32">
        <v>37</v>
      </c>
      <c r="C32">
        <v>150</v>
      </c>
      <c r="D32">
        <v>0.61</v>
      </c>
      <c r="E32">
        <v>0.57999999999999996</v>
      </c>
      <c r="F32">
        <v>0.9</v>
      </c>
      <c r="G32">
        <v>0.53</v>
      </c>
      <c r="H32">
        <v>0.84</v>
      </c>
      <c r="I32">
        <v>0.75</v>
      </c>
      <c r="J32">
        <v>0.61</v>
      </c>
      <c r="K32">
        <v>0.91</v>
      </c>
      <c r="L32">
        <v>0.5</v>
      </c>
      <c r="M32">
        <v>0.5</v>
      </c>
      <c r="N32">
        <v>0.6</v>
      </c>
      <c r="O32">
        <v>1.23</v>
      </c>
      <c r="P32">
        <v>0.55000000000000004</v>
      </c>
      <c r="Q32">
        <v>0.96</v>
      </c>
      <c r="R32">
        <v>0.94</v>
      </c>
      <c r="S32">
        <v>0.82</v>
      </c>
      <c r="T32">
        <v>0.76</v>
      </c>
      <c r="U32">
        <v>0.7</v>
      </c>
      <c r="V32">
        <v>0.65</v>
      </c>
      <c r="W32">
        <v>0.66</v>
      </c>
      <c r="X32">
        <v>0.56999999999999995</v>
      </c>
      <c r="Y32">
        <v>0.06</v>
      </c>
      <c r="Z32">
        <v>0</v>
      </c>
      <c r="AA32">
        <v>0</v>
      </c>
    </row>
    <row r="33" spans="1:27">
      <c r="A33">
        <v>0</v>
      </c>
      <c r="B33">
        <v>39</v>
      </c>
      <c r="C33">
        <v>175</v>
      </c>
      <c r="D33">
        <v>0.8</v>
      </c>
      <c r="E33">
        <v>0.76</v>
      </c>
      <c r="F33">
        <v>1.18</v>
      </c>
      <c r="G33">
        <v>0.69</v>
      </c>
      <c r="H33">
        <v>1.1000000000000001</v>
      </c>
      <c r="I33">
        <v>0.99</v>
      </c>
      <c r="J33">
        <v>0.81</v>
      </c>
      <c r="K33">
        <v>1.2</v>
      </c>
      <c r="L33">
        <v>0.6</v>
      </c>
      <c r="M33">
        <v>0.65</v>
      </c>
      <c r="N33">
        <v>0.75</v>
      </c>
      <c r="O33">
        <v>1.62</v>
      </c>
      <c r="P33">
        <v>0.73</v>
      </c>
      <c r="Q33">
        <v>1.26</v>
      </c>
      <c r="R33">
        <v>1.23</v>
      </c>
      <c r="S33">
        <v>1.07</v>
      </c>
      <c r="T33">
        <v>0.99</v>
      </c>
      <c r="U33">
        <v>0.92</v>
      </c>
      <c r="V33">
        <v>0.86</v>
      </c>
      <c r="W33">
        <v>0.87</v>
      </c>
      <c r="X33">
        <v>0.76</v>
      </c>
      <c r="Y33">
        <v>0.08</v>
      </c>
      <c r="Z33">
        <v>0</v>
      </c>
      <c r="AA33">
        <v>0</v>
      </c>
    </row>
    <row r="34" spans="1:27">
      <c r="A34">
        <v>0</v>
      </c>
      <c r="B34">
        <v>40</v>
      </c>
      <c r="C34">
        <v>200</v>
      </c>
      <c r="D34">
        <v>0.99</v>
      </c>
      <c r="E34">
        <v>0.94</v>
      </c>
      <c r="F34">
        <v>1.46</v>
      </c>
      <c r="G34">
        <v>0.86</v>
      </c>
      <c r="H34">
        <v>1.37</v>
      </c>
      <c r="I34">
        <v>1.22</v>
      </c>
      <c r="J34">
        <v>1.01</v>
      </c>
      <c r="K34">
        <v>1.49</v>
      </c>
      <c r="L34">
        <v>0.7</v>
      </c>
      <c r="M34">
        <v>0.8</v>
      </c>
      <c r="N34">
        <v>0.9</v>
      </c>
      <c r="O34">
        <v>2</v>
      </c>
      <c r="P34">
        <v>0.9</v>
      </c>
      <c r="Q34">
        <v>1.56</v>
      </c>
      <c r="R34">
        <v>1.52</v>
      </c>
      <c r="S34">
        <v>1.33</v>
      </c>
      <c r="T34">
        <v>1.23</v>
      </c>
      <c r="U34">
        <v>1.1499999999999999</v>
      </c>
      <c r="V34">
        <v>1.06</v>
      </c>
      <c r="W34">
        <v>1.08</v>
      </c>
      <c r="X34">
        <v>0.94</v>
      </c>
      <c r="Y34">
        <v>0.1</v>
      </c>
      <c r="Z34">
        <v>0</v>
      </c>
      <c r="AA34">
        <v>0</v>
      </c>
    </row>
    <row r="35" spans="1:27">
      <c r="A35">
        <v>0</v>
      </c>
      <c r="B35">
        <v>41</v>
      </c>
      <c r="C35">
        <v>225</v>
      </c>
      <c r="D35">
        <v>1.21</v>
      </c>
      <c r="E35">
        <v>1.1299999999999999</v>
      </c>
      <c r="F35">
        <v>1.75</v>
      </c>
      <c r="G35">
        <v>1.03</v>
      </c>
      <c r="H35">
        <v>1.64</v>
      </c>
      <c r="I35">
        <v>1.46</v>
      </c>
      <c r="J35">
        <v>1.21</v>
      </c>
      <c r="K35">
        <v>1.79</v>
      </c>
      <c r="L35">
        <v>0.85</v>
      </c>
      <c r="M35">
        <v>0.95</v>
      </c>
      <c r="N35">
        <v>1.1000000000000001</v>
      </c>
      <c r="O35">
        <v>2.41</v>
      </c>
      <c r="P35">
        <v>1.08</v>
      </c>
      <c r="Q35">
        <v>1.86</v>
      </c>
      <c r="R35">
        <v>1.83</v>
      </c>
      <c r="S35">
        <v>1.59</v>
      </c>
      <c r="T35">
        <v>1.49</v>
      </c>
      <c r="U35">
        <v>1.38</v>
      </c>
      <c r="V35">
        <v>1.27</v>
      </c>
      <c r="W35">
        <v>1.28</v>
      </c>
      <c r="X35">
        <v>1.1299999999999999</v>
      </c>
      <c r="Y35">
        <v>0.13</v>
      </c>
      <c r="Z35">
        <v>0</v>
      </c>
      <c r="AA35">
        <v>0</v>
      </c>
    </row>
    <row r="36" spans="1:27">
      <c r="A36">
        <v>0</v>
      </c>
      <c r="B36">
        <v>42</v>
      </c>
      <c r="C36">
        <v>250</v>
      </c>
      <c r="D36">
        <v>1.4</v>
      </c>
      <c r="E36">
        <v>1.33</v>
      </c>
      <c r="F36">
        <v>2.0299999999999998</v>
      </c>
      <c r="G36">
        <v>1.21</v>
      </c>
      <c r="H36">
        <v>1.91</v>
      </c>
      <c r="I36">
        <v>1.71</v>
      </c>
      <c r="J36">
        <v>1.42</v>
      </c>
      <c r="K36">
        <v>2.09</v>
      </c>
      <c r="L36">
        <v>1</v>
      </c>
      <c r="M36">
        <v>1.1000000000000001</v>
      </c>
      <c r="N36">
        <v>1.3</v>
      </c>
      <c r="O36">
        <v>2.83</v>
      </c>
      <c r="P36">
        <v>1.27</v>
      </c>
      <c r="Q36">
        <v>2.17</v>
      </c>
      <c r="R36">
        <v>2.14</v>
      </c>
      <c r="S36">
        <v>1.86</v>
      </c>
      <c r="T36">
        <v>1.76</v>
      </c>
      <c r="U36">
        <v>1.61</v>
      </c>
      <c r="V36">
        <v>1.49</v>
      </c>
      <c r="W36">
        <v>1.49</v>
      </c>
      <c r="X36">
        <v>1.33</v>
      </c>
      <c r="Y36">
        <v>0.17</v>
      </c>
      <c r="Z36">
        <v>0</v>
      </c>
      <c r="AA36">
        <v>0</v>
      </c>
    </row>
    <row r="37" spans="1:27">
      <c r="A37">
        <v>0</v>
      </c>
      <c r="B37">
        <v>44</v>
      </c>
      <c r="C37">
        <v>275</v>
      </c>
      <c r="D37">
        <v>1.61</v>
      </c>
      <c r="E37">
        <v>1.52</v>
      </c>
      <c r="F37">
        <v>2.3199999999999998</v>
      </c>
      <c r="G37">
        <v>1.38</v>
      </c>
      <c r="H37">
        <v>2.1800000000000002</v>
      </c>
      <c r="I37">
        <v>1.96</v>
      </c>
      <c r="J37">
        <v>1.63</v>
      </c>
      <c r="K37">
        <v>2.38</v>
      </c>
      <c r="L37">
        <v>1.1499999999999999</v>
      </c>
      <c r="M37">
        <v>1.25</v>
      </c>
      <c r="N37">
        <v>1.45</v>
      </c>
      <c r="O37">
        <v>3.24</v>
      </c>
      <c r="P37">
        <v>1.45</v>
      </c>
      <c r="Q37">
        <v>2.48</v>
      </c>
      <c r="R37">
        <v>2.4500000000000002</v>
      </c>
      <c r="S37">
        <v>2.13</v>
      </c>
      <c r="T37">
        <v>2.0299999999999998</v>
      </c>
      <c r="U37">
        <v>1.85</v>
      </c>
      <c r="V37">
        <v>1.7</v>
      </c>
      <c r="W37">
        <v>1.7</v>
      </c>
      <c r="X37">
        <v>1.53</v>
      </c>
      <c r="Y37">
        <v>0.2</v>
      </c>
      <c r="Z37">
        <v>0</v>
      </c>
      <c r="AA37">
        <v>0</v>
      </c>
    </row>
    <row r="38" spans="1:27">
      <c r="A38">
        <v>0</v>
      </c>
      <c r="B38">
        <v>45</v>
      </c>
      <c r="C38">
        <v>300</v>
      </c>
      <c r="D38">
        <v>1.82</v>
      </c>
      <c r="E38">
        <v>1.71</v>
      </c>
      <c r="F38">
        <v>2.61</v>
      </c>
      <c r="G38">
        <v>1.56</v>
      </c>
      <c r="H38">
        <v>2.4500000000000002</v>
      </c>
      <c r="I38">
        <v>2.21</v>
      </c>
      <c r="J38">
        <v>1.84</v>
      </c>
      <c r="K38">
        <v>2.68</v>
      </c>
      <c r="L38">
        <v>1.3</v>
      </c>
      <c r="M38">
        <v>1.4</v>
      </c>
      <c r="N38">
        <v>1.6</v>
      </c>
      <c r="O38">
        <v>3.67</v>
      </c>
      <c r="P38">
        <v>1.64</v>
      </c>
      <c r="Q38">
        <v>2.79</v>
      </c>
      <c r="R38">
        <v>2.76</v>
      </c>
      <c r="S38">
        <v>2.4</v>
      </c>
      <c r="T38">
        <v>2.2999999999999998</v>
      </c>
      <c r="U38">
        <v>2.09</v>
      </c>
      <c r="V38">
        <v>1.91</v>
      </c>
      <c r="W38">
        <v>1.9</v>
      </c>
      <c r="X38">
        <v>1.72</v>
      </c>
      <c r="Y38">
        <v>0.24</v>
      </c>
      <c r="Z38">
        <v>0</v>
      </c>
      <c r="AA38">
        <v>0</v>
      </c>
    </row>
    <row r="39" spans="1:27">
      <c r="A39">
        <v>0</v>
      </c>
      <c r="B39">
        <v>46</v>
      </c>
      <c r="C39">
        <v>325</v>
      </c>
      <c r="D39">
        <v>2.04</v>
      </c>
      <c r="E39">
        <v>1.9</v>
      </c>
      <c r="F39">
        <v>2.9</v>
      </c>
      <c r="G39">
        <v>1.74</v>
      </c>
      <c r="H39">
        <v>2.72</v>
      </c>
      <c r="I39">
        <v>2.44</v>
      </c>
      <c r="J39">
        <v>2.0499999999999998</v>
      </c>
      <c r="K39">
        <v>2.99</v>
      </c>
      <c r="L39">
        <v>1.45</v>
      </c>
      <c r="M39">
        <v>1.55</v>
      </c>
      <c r="N39">
        <v>1.8</v>
      </c>
      <c r="O39">
        <v>4.09</v>
      </c>
      <c r="P39">
        <v>1.83</v>
      </c>
      <c r="Q39">
        <v>3.11</v>
      </c>
      <c r="R39">
        <v>3.08</v>
      </c>
      <c r="S39">
        <v>2.68</v>
      </c>
      <c r="T39">
        <v>2.59</v>
      </c>
      <c r="U39">
        <v>2.3199999999999998</v>
      </c>
      <c r="V39">
        <v>2.13</v>
      </c>
      <c r="W39">
        <v>2.11</v>
      </c>
      <c r="X39">
        <v>1.93</v>
      </c>
      <c r="Y39">
        <v>0.3</v>
      </c>
      <c r="Z39">
        <v>0</v>
      </c>
      <c r="AA39">
        <v>0</v>
      </c>
    </row>
    <row r="40" spans="1:27">
      <c r="A40">
        <v>0</v>
      </c>
      <c r="B40">
        <v>47</v>
      </c>
      <c r="C40">
        <v>350</v>
      </c>
      <c r="D40">
        <v>2.2599999999999998</v>
      </c>
      <c r="E40">
        <v>2.1</v>
      </c>
      <c r="F40">
        <v>3.2</v>
      </c>
      <c r="G40">
        <v>1.93</v>
      </c>
      <c r="H40">
        <v>2.99</v>
      </c>
      <c r="I40">
        <v>2.68</v>
      </c>
      <c r="J40">
        <v>2.2599999999999998</v>
      </c>
      <c r="K40">
        <v>3.29</v>
      </c>
      <c r="L40">
        <v>1.6</v>
      </c>
      <c r="M40">
        <v>1.7</v>
      </c>
      <c r="N40">
        <v>2</v>
      </c>
      <c r="O40">
        <v>4.5199999999999996</v>
      </c>
      <c r="P40">
        <v>2.0299999999999998</v>
      </c>
      <c r="Q40">
        <v>3.42</v>
      </c>
      <c r="R40">
        <v>3.41</v>
      </c>
      <c r="S40">
        <v>2.96</v>
      </c>
      <c r="T40">
        <v>2.88</v>
      </c>
      <c r="U40">
        <v>2.56</v>
      </c>
      <c r="V40">
        <v>2.35</v>
      </c>
      <c r="W40">
        <v>2.3199999999999998</v>
      </c>
      <c r="X40">
        <v>2.13</v>
      </c>
      <c r="Y40">
        <v>0.36</v>
      </c>
      <c r="Z40">
        <v>0</v>
      </c>
      <c r="AA40">
        <v>0</v>
      </c>
    </row>
    <row r="41" spans="1:27">
      <c r="A41">
        <v>0</v>
      </c>
      <c r="B41">
        <v>49</v>
      </c>
      <c r="C41">
        <v>375</v>
      </c>
      <c r="D41">
        <v>2.48</v>
      </c>
      <c r="E41">
        <v>2.2999999999999998</v>
      </c>
      <c r="F41">
        <v>3.5</v>
      </c>
      <c r="G41">
        <v>2.11</v>
      </c>
      <c r="H41">
        <v>3.26</v>
      </c>
      <c r="I41">
        <v>2.91</v>
      </c>
      <c r="J41">
        <v>2.4700000000000002</v>
      </c>
      <c r="K41">
        <v>3.59</v>
      </c>
      <c r="L41">
        <v>1.75</v>
      </c>
      <c r="M41">
        <v>1.85</v>
      </c>
      <c r="N41">
        <v>2.2000000000000002</v>
      </c>
      <c r="O41">
        <v>4.95</v>
      </c>
      <c r="P41">
        <v>2.2200000000000002</v>
      </c>
      <c r="Q41">
        <v>3.74</v>
      </c>
      <c r="R41">
        <v>3.73</v>
      </c>
      <c r="S41">
        <v>3.24</v>
      </c>
      <c r="T41">
        <v>3.18</v>
      </c>
      <c r="U41">
        <v>2.8</v>
      </c>
      <c r="V41">
        <v>2.57</v>
      </c>
      <c r="W41">
        <v>2.5299999999999998</v>
      </c>
      <c r="X41">
        <v>2.36</v>
      </c>
      <c r="Y41">
        <v>0.42</v>
      </c>
      <c r="Z41">
        <v>0</v>
      </c>
      <c r="AA41">
        <v>0</v>
      </c>
    </row>
    <row r="42" spans="1:27">
      <c r="A42">
        <v>0</v>
      </c>
      <c r="B42">
        <v>50</v>
      </c>
      <c r="C42">
        <v>400</v>
      </c>
      <c r="D42">
        <v>2.7</v>
      </c>
      <c r="E42">
        <v>2.5</v>
      </c>
      <c r="F42">
        <v>3.8</v>
      </c>
      <c r="G42">
        <v>2.2999999999999998</v>
      </c>
      <c r="H42">
        <v>3.53</v>
      </c>
      <c r="I42">
        <v>3.25</v>
      </c>
      <c r="J42">
        <v>2.69</v>
      </c>
      <c r="K42">
        <v>3.9</v>
      </c>
      <c r="L42">
        <v>1.9</v>
      </c>
      <c r="M42">
        <v>2</v>
      </c>
      <c r="N42">
        <v>2.4</v>
      </c>
      <c r="O42">
        <v>5.39</v>
      </c>
      <c r="P42">
        <v>2.42</v>
      </c>
      <c r="Q42">
        <v>4.05</v>
      </c>
      <c r="R42">
        <v>4.05</v>
      </c>
      <c r="S42">
        <v>3.52</v>
      </c>
      <c r="T42">
        <v>3.48</v>
      </c>
      <c r="U42">
        <v>3.05</v>
      </c>
      <c r="V42">
        <v>2.79</v>
      </c>
      <c r="W42">
        <v>2.73</v>
      </c>
      <c r="X42">
        <v>2.56</v>
      </c>
      <c r="Y42">
        <v>0.48</v>
      </c>
      <c r="Z42">
        <v>0</v>
      </c>
      <c r="AA42">
        <v>0</v>
      </c>
    </row>
    <row r="43" spans="1:27">
      <c r="A43">
        <v>0</v>
      </c>
      <c r="B43">
        <v>51</v>
      </c>
      <c r="C43">
        <v>425</v>
      </c>
      <c r="D43">
        <v>2.93</v>
      </c>
      <c r="E43">
        <v>2.72</v>
      </c>
      <c r="F43">
        <v>4.0999999999999996</v>
      </c>
      <c r="G43">
        <v>2.5</v>
      </c>
      <c r="H43">
        <v>3.8</v>
      </c>
      <c r="I43">
        <v>3.52</v>
      </c>
      <c r="J43">
        <v>2.91</v>
      </c>
      <c r="K43">
        <v>4.21</v>
      </c>
      <c r="L43">
        <v>2.0499999999999998</v>
      </c>
      <c r="M43">
        <v>2.15</v>
      </c>
      <c r="N43">
        <v>2.6</v>
      </c>
      <c r="O43">
        <v>5.83</v>
      </c>
      <c r="P43">
        <v>2.62</v>
      </c>
      <c r="Q43">
        <v>4.37</v>
      </c>
      <c r="R43">
        <v>4.38</v>
      </c>
      <c r="S43" t="s">
        <v>57</v>
      </c>
      <c r="T43">
        <v>3.76</v>
      </c>
      <c r="U43">
        <v>3.29</v>
      </c>
      <c r="V43">
        <v>3.01</v>
      </c>
      <c r="W43">
        <v>2.94</v>
      </c>
      <c r="X43">
        <v>2.79</v>
      </c>
      <c r="Y43">
        <v>0.56000000000000005</v>
      </c>
      <c r="Z43">
        <v>0</v>
      </c>
      <c r="AA43">
        <v>0</v>
      </c>
    </row>
    <row r="44" spans="1:27">
      <c r="A44">
        <v>0</v>
      </c>
      <c r="B44">
        <v>52</v>
      </c>
      <c r="C44">
        <v>450</v>
      </c>
      <c r="D44">
        <v>3.16</v>
      </c>
      <c r="E44">
        <v>2.93</v>
      </c>
      <c r="F44">
        <v>4.41</v>
      </c>
      <c r="G44">
        <v>2.69</v>
      </c>
      <c r="H44">
        <v>4.07</v>
      </c>
      <c r="I44">
        <v>3.79</v>
      </c>
      <c r="J44">
        <v>3.13</v>
      </c>
      <c r="K44">
        <v>4.51</v>
      </c>
      <c r="L44">
        <v>2.2000000000000002</v>
      </c>
      <c r="M44">
        <v>2.2999999999999998</v>
      </c>
      <c r="N44">
        <v>2.8</v>
      </c>
      <c r="O44">
        <v>6.28</v>
      </c>
      <c r="P44">
        <v>2.83</v>
      </c>
      <c r="Q44">
        <v>4.6900000000000004</v>
      </c>
      <c r="R44">
        <v>4.72</v>
      </c>
      <c r="S44" t="s">
        <v>57</v>
      </c>
      <c r="T44">
        <v>4.04</v>
      </c>
      <c r="U44">
        <v>3.53</v>
      </c>
      <c r="V44">
        <v>3.24</v>
      </c>
      <c r="W44">
        <v>3.15</v>
      </c>
      <c r="X44">
        <v>3.04</v>
      </c>
      <c r="Y44">
        <v>0.66</v>
      </c>
      <c r="Z44">
        <v>0</v>
      </c>
      <c r="AA44">
        <v>0</v>
      </c>
    </row>
    <row r="45" spans="1:27">
      <c r="A45">
        <v>0</v>
      </c>
      <c r="B45">
        <v>54</v>
      </c>
      <c r="C45">
        <v>475</v>
      </c>
      <c r="D45">
        <v>3.39</v>
      </c>
      <c r="E45">
        <v>3.14</v>
      </c>
      <c r="F45">
        <v>4.71</v>
      </c>
      <c r="G45">
        <v>2.89</v>
      </c>
      <c r="H45">
        <v>4.34</v>
      </c>
      <c r="I45">
        <v>4.0599999999999996</v>
      </c>
      <c r="J45">
        <v>3.35</v>
      </c>
      <c r="K45">
        <v>4.82</v>
      </c>
      <c r="L45">
        <v>2.35</v>
      </c>
      <c r="M45">
        <v>2.4500000000000002</v>
      </c>
      <c r="N45">
        <v>3</v>
      </c>
      <c r="O45">
        <v>6.72</v>
      </c>
      <c r="P45">
        <v>3.03</v>
      </c>
      <c r="Q45">
        <v>5.01</v>
      </c>
      <c r="R45">
        <v>5.0599999999999996</v>
      </c>
      <c r="S45" t="s">
        <v>57</v>
      </c>
      <c r="T45">
        <v>4.3099999999999996</v>
      </c>
      <c r="U45">
        <v>3.78</v>
      </c>
      <c r="V45">
        <v>3.46</v>
      </c>
      <c r="W45">
        <v>3.37</v>
      </c>
      <c r="X45">
        <v>3.28</v>
      </c>
      <c r="Y45">
        <v>0.76</v>
      </c>
      <c r="Z45">
        <v>0</v>
      </c>
      <c r="AA45">
        <v>0</v>
      </c>
    </row>
    <row r="46" spans="1:27">
      <c r="A46">
        <v>0</v>
      </c>
      <c r="B46">
        <v>55</v>
      </c>
      <c r="C46">
        <v>500</v>
      </c>
      <c r="D46">
        <v>3.62</v>
      </c>
      <c r="E46">
        <v>3.35</v>
      </c>
      <c r="F46">
        <v>5.01</v>
      </c>
      <c r="G46">
        <v>3.08</v>
      </c>
      <c r="H46">
        <v>4.6100000000000003</v>
      </c>
      <c r="I46">
        <v>4.33</v>
      </c>
      <c r="J46">
        <v>3.58</v>
      </c>
      <c r="K46">
        <v>5.14</v>
      </c>
      <c r="L46">
        <v>2.5</v>
      </c>
      <c r="M46">
        <v>2.6</v>
      </c>
      <c r="N46">
        <v>3.2</v>
      </c>
      <c r="O46">
        <v>7.17</v>
      </c>
      <c r="P46">
        <v>3.24</v>
      </c>
      <c r="Q46">
        <v>5.33</v>
      </c>
      <c r="R46">
        <v>5.4</v>
      </c>
      <c r="S46" t="s">
        <v>57</v>
      </c>
      <c r="T46">
        <v>4.59</v>
      </c>
      <c r="U46">
        <v>4.0199999999999996</v>
      </c>
      <c r="V46">
        <v>3.69</v>
      </c>
      <c r="W46">
        <v>3.59</v>
      </c>
      <c r="X46">
        <v>3.54</v>
      </c>
      <c r="Y46">
        <v>0.84</v>
      </c>
      <c r="Z46">
        <v>0</v>
      </c>
      <c r="AA46">
        <v>0</v>
      </c>
    </row>
    <row r="47" spans="1:27">
      <c r="A47">
        <v>0</v>
      </c>
      <c r="B47">
        <v>56</v>
      </c>
      <c r="C47">
        <v>525</v>
      </c>
      <c r="D47">
        <v>3.86</v>
      </c>
      <c r="E47">
        <v>3.58</v>
      </c>
      <c r="F47">
        <v>5.31</v>
      </c>
      <c r="G47">
        <v>3.28</v>
      </c>
      <c r="H47">
        <v>4.88</v>
      </c>
      <c r="I47">
        <v>4.6100000000000003</v>
      </c>
      <c r="J47">
        <v>3.81</v>
      </c>
      <c r="K47">
        <v>5.45</v>
      </c>
      <c r="L47">
        <v>2.65</v>
      </c>
      <c r="M47">
        <v>2.75</v>
      </c>
      <c r="N47">
        <v>3.4</v>
      </c>
      <c r="O47">
        <v>7.63</v>
      </c>
      <c r="P47">
        <v>3.46</v>
      </c>
      <c r="Q47">
        <v>5.65</v>
      </c>
      <c r="R47">
        <v>5.75</v>
      </c>
      <c r="S47" t="s">
        <v>57</v>
      </c>
      <c r="T47">
        <v>4.87</v>
      </c>
      <c r="U47">
        <v>4.2699999999999996</v>
      </c>
      <c r="V47">
        <v>3.92</v>
      </c>
      <c r="W47">
        <v>3.8</v>
      </c>
      <c r="X47">
        <v>3.76</v>
      </c>
      <c r="Y47">
        <v>0.96</v>
      </c>
      <c r="Z47">
        <v>0</v>
      </c>
      <c r="AA47">
        <v>0</v>
      </c>
    </row>
    <row r="48" spans="1:27">
      <c r="A48">
        <v>0</v>
      </c>
      <c r="B48">
        <v>57</v>
      </c>
      <c r="C48">
        <v>550</v>
      </c>
      <c r="D48">
        <v>4.1100000000000003</v>
      </c>
      <c r="E48">
        <v>3.8</v>
      </c>
      <c r="F48">
        <v>5.62</v>
      </c>
      <c r="G48">
        <v>3.49</v>
      </c>
      <c r="H48">
        <v>5.15</v>
      </c>
      <c r="I48">
        <v>4.9000000000000004</v>
      </c>
      <c r="J48">
        <v>4.04</v>
      </c>
      <c r="K48">
        <v>5.76</v>
      </c>
      <c r="L48">
        <v>2.8</v>
      </c>
      <c r="M48">
        <v>2.9</v>
      </c>
      <c r="N48">
        <v>3.6</v>
      </c>
      <c r="O48">
        <v>8.1</v>
      </c>
      <c r="P48">
        <v>3.67</v>
      </c>
      <c r="Q48">
        <v>5.98</v>
      </c>
      <c r="R48">
        <v>6.1</v>
      </c>
      <c r="S48" t="s">
        <v>57</v>
      </c>
      <c r="T48">
        <v>5.16</v>
      </c>
      <c r="U48">
        <v>4.5199999999999996</v>
      </c>
      <c r="V48">
        <v>4.1500000000000004</v>
      </c>
      <c r="W48">
        <v>4.0199999999999996</v>
      </c>
      <c r="X48">
        <v>3.99</v>
      </c>
      <c r="Y48">
        <v>1.08</v>
      </c>
      <c r="Z48">
        <v>0</v>
      </c>
      <c r="AA48">
        <v>0</v>
      </c>
    </row>
    <row r="49" spans="1:27">
      <c r="A49">
        <v>0</v>
      </c>
      <c r="B49">
        <v>59</v>
      </c>
      <c r="C49">
        <v>575</v>
      </c>
      <c r="D49">
        <v>4.3499999999999996</v>
      </c>
      <c r="E49">
        <v>4.0199999999999996</v>
      </c>
      <c r="F49">
        <v>5.93</v>
      </c>
      <c r="G49">
        <v>3.69</v>
      </c>
      <c r="H49">
        <v>5.42</v>
      </c>
      <c r="I49">
        <v>5.18</v>
      </c>
      <c r="J49">
        <v>4.2699999999999996</v>
      </c>
      <c r="K49">
        <v>6.07</v>
      </c>
      <c r="L49">
        <v>2.95</v>
      </c>
      <c r="M49">
        <v>3.1</v>
      </c>
      <c r="N49">
        <v>3.8</v>
      </c>
      <c r="O49">
        <v>8.56</v>
      </c>
      <c r="P49">
        <v>3.89</v>
      </c>
      <c r="Q49">
        <v>6.31</v>
      </c>
      <c r="R49">
        <v>6.45</v>
      </c>
      <c r="S49" t="s">
        <v>57</v>
      </c>
      <c r="T49">
        <v>5.44</v>
      </c>
      <c r="U49">
        <v>4.7699999999999996</v>
      </c>
      <c r="V49">
        <v>4.3899999999999997</v>
      </c>
      <c r="W49">
        <v>4.24</v>
      </c>
      <c r="X49">
        <v>4.22</v>
      </c>
      <c r="Y49">
        <v>1.2</v>
      </c>
      <c r="Z49">
        <v>0</v>
      </c>
      <c r="AA49">
        <v>0</v>
      </c>
    </row>
    <row r="50" spans="1:27">
      <c r="A50">
        <v>0</v>
      </c>
      <c r="B50">
        <v>60</v>
      </c>
      <c r="C50">
        <v>600</v>
      </c>
      <c r="D50">
        <v>4.5999999999999996</v>
      </c>
      <c r="E50">
        <v>4.24</v>
      </c>
      <c r="F50">
        <v>6.24</v>
      </c>
      <c r="G50">
        <v>3.9</v>
      </c>
      <c r="H50">
        <v>5.69</v>
      </c>
      <c r="I50">
        <v>5.46</v>
      </c>
      <c r="J50">
        <v>4.5</v>
      </c>
      <c r="K50">
        <v>6.09</v>
      </c>
      <c r="L50">
        <v>3.1</v>
      </c>
      <c r="M50">
        <v>3.3</v>
      </c>
      <c r="N50">
        <v>4</v>
      </c>
      <c r="O50">
        <v>9.0299999999999994</v>
      </c>
      <c r="P50">
        <v>4.1100000000000003</v>
      </c>
      <c r="Q50">
        <v>6.64</v>
      </c>
      <c r="R50">
        <v>6.8</v>
      </c>
      <c r="S50" t="s">
        <v>57</v>
      </c>
      <c r="T50">
        <v>5.72</v>
      </c>
      <c r="U50">
        <v>5.0199999999999996</v>
      </c>
      <c r="V50">
        <v>4.62</v>
      </c>
      <c r="W50">
        <v>4.46</v>
      </c>
      <c r="X50">
        <v>4.4400000000000004</v>
      </c>
      <c r="Y50">
        <v>1.32</v>
      </c>
      <c r="Z50">
        <v>0</v>
      </c>
      <c r="AA50">
        <v>0</v>
      </c>
    </row>
    <row r="51" spans="1:27">
      <c r="A51">
        <v>0</v>
      </c>
      <c r="B51">
        <v>61</v>
      </c>
      <c r="C51">
        <v>625</v>
      </c>
      <c r="D51">
        <v>4.8600000000000003</v>
      </c>
      <c r="E51">
        <v>4.47</v>
      </c>
      <c r="F51">
        <v>6.55</v>
      </c>
      <c r="G51">
        <v>4.0999999999999996</v>
      </c>
      <c r="H51">
        <v>5.96</v>
      </c>
      <c r="I51">
        <v>5.75</v>
      </c>
      <c r="J51">
        <v>4.74</v>
      </c>
      <c r="K51" t="s">
        <v>57</v>
      </c>
      <c r="L51">
        <v>3.25</v>
      </c>
      <c r="M51" t="s">
        <v>57</v>
      </c>
      <c r="N51">
        <v>4.2</v>
      </c>
      <c r="O51" t="s">
        <v>57</v>
      </c>
      <c r="P51">
        <v>4.34</v>
      </c>
      <c r="Q51">
        <v>6.96</v>
      </c>
      <c r="R51">
        <v>7.16</v>
      </c>
      <c r="S51" t="s">
        <v>57</v>
      </c>
      <c r="T51">
        <v>6.01</v>
      </c>
      <c r="U51">
        <v>5.27</v>
      </c>
      <c r="V51">
        <v>4.8600000000000003</v>
      </c>
      <c r="W51">
        <v>4.68</v>
      </c>
      <c r="X51">
        <v>4.66</v>
      </c>
      <c r="Y51" t="s">
        <v>57</v>
      </c>
      <c r="Z51">
        <v>0</v>
      </c>
      <c r="AA51">
        <v>0</v>
      </c>
    </row>
    <row r="52" spans="1:27">
      <c r="A52">
        <v>0</v>
      </c>
      <c r="B52">
        <v>62</v>
      </c>
      <c r="C52">
        <v>650</v>
      </c>
      <c r="D52">
        <v>5.1100000000000003</v>
      </c>
      <c r="E52">
        <v>4.6900000000000004</v>
      </c>
      <c r="F52">
        <v>6.87</v>
      </c>
      <c r="G52">
        <v>4.3099999999999996</v>
      </c>
      <c r="H52">
        <v>6.23</v>
      </c>
      <c r="I52">
        <v>6.05</v>
      </c>
      <c r="J52">
        <v>4.9800000000000004</v>
      </c>
      <c r="K52" t="s">
        <v>57</v>
      </c>
      <c r="L52">
        <v>3.4</v>
      </c>
      <c r="M52" t="s">
        <v>57</v>
      </c>
      <c r="N52">
        <v>4.4000000000000004</v>
      </c>
      <c r="O52" t="s">
        <v>57</v>
      </c>
      <c r="P52">
        <v>4.57</v>
      </c>
      <c r="Q52">
        <v>7.29</v>
      </c>
      <c r="R52">
        <v>7.53</v>
      </c>
      <c r="S52" t="s">
        <v>57</v>
      </c>
      <c r="T52">
        <v>6.3</v>
      </c>
      <c r="U52">
        <v>5.53</v>
      </c>
      <c r="V52">
        <v>5.09</v>
      </c>
      <c r="W52">
        <v>4.91</v>
      </c>
      <c r="X52">
        <v>4.9000000000000004</v>
      </c>
      <c r="Y52" t="s">
        <v>57</v>
      </c>
      <c r="Z52">
        <v>0</v>
      </c>
      <c r="AA52">
        <v>0</v>
      </c>
    </row>
    <row r="53" spans="1:27">
      <c r="A53">
        <v>0</v>
      </c>
      <c r="B53">
        <v>64</v>
      </c>
      <c r="C53">
        <v>675</v>
      </c>
      <c r="D53">
        <v>5.37</v>
      </c>
      <c r="E53">
        <v>4.92</v>
      </c>
      <c r="F53">
        <v>7.18</v>
      </c>
      <c r="G53">
        <v>4.5199999999999996</v>
      </c>
      <c r="H53">
        <v>6.5</v>
      </c>
      <c r="I53">
        <v>6.34</v>
      </c>
      <c r="J53">
        <v>5.22</v>
      </c>
      <c r="K53" t="s">
        <v>57</v>
      </c>
      <c r="L53">
        <v>3.6</v>
      </c>
      <c r="M53" t="s">
        <v>57</v>
      </c>
      <c r="N53">
        <v>4.6500000000000004</v>
      </c>
      <c r="O53" t="s">
        <v>57</v>
      </c>
      <c r="P53">
        <v>4.8</v>
      </c>
      <c r="Q53">
        <v>7.62</v>
      </c>
      <c r="R53">
        <v>7.89</v>
      </c>
      <c r="S53" t="s">
        <v>57</v>
      </c>
      <c r="T53">
        <v>6.58</v>
      </c>
      <c r="U53">
        <v>5.79</v>
      </c>
      <c r="V53">
        <v>5.33</v>
      </c>
      <c r="W53">
        <v>5.13</v>
      </c>
      <c r="X53">
        <v>5.14</v>
      </c>
      <c r="Y53" t="s">
        <v>57</v>
      </c>
      <c r="Z53">
        <v>0</v>
      </c>
      <c r="AA53">
        <v>0</v>
      </c>
    </row>
    <row r="54" spans="1:27">
      <c r="A54">
        <v>0</v>
      </c>
      <c r="B54">
        <v>65</v>
      </c>
      <c r="C54">
        <v>700</v>
      </c>
      <c r="D54">
        <v>5.63</v>
      </c>
      <c r="E54">
        <v>5.14</v>
      </c>
      <c r="F54">
        <v>7.5</v>
      </c>
      <c r="G54">
        <v>4.7300000000000004</v>
      </c>
      <c r="H54">
        <v>6.77</v>
      </c>
      <c r="I54">
        <v>6.64</v>
      </c>
      <c r="J54">
        <v>5.46</v>
      </c>
      <c r="K54" t="s">
        <v>57</v>
      </c>
      <c r="L54">
        <v>3.8</v>
      </c>
      <c r="M54" t="s">
        <v>57</v>
      </c>
      <c r="N54">
        <v>4.9000000000000004</v>
      </c>
      <c r="O54" t="s">
        <v>57</v>
      </c>
      <c r="P54">
        <v>5.03</v>
      </c>
      <c r="Q54">
        <v>7.95</v>
      </c>
      <c r="R54">
        <v>8.26</v>
      </c>
      <c r="S54" t="s">
        <v>57</v>
      </c>
      <c r="T54">
        <v>6.88</v>
      </c>
      <c r="U54">
        <v>6.05</v>
      </c>
      <c r="V54">
        <v>5.58</v>
      </c>
      <c r="W54">
        <v>5.36</v>
      </c>
      <c r="X54">
        <v>5.39</v>
      </c>
      <c r="Y54" t="s">
        <v>57</v>
      </c>
      <c r="Z54">
        <v>0</v>
      </c>
      <c r="AA54">
        <v>0</v>
      </c>
    </row>
    <row r="55" spans="1:27">
      <c r="A55">
        <v>0</v>
      </c>
      <c r="B55">
        <v>66</v>
      </c>
      <c r="C55">
        <v>725</v>
      </c>
      <c r="D55">
        <v>5.9</v>
      </c>
      <c r="E55">
        <v>5.38</v>
      </c>
      <c r="F55">
        <v>7.82</v>
      </c>
      <c r="G55">
        <v>4.9400000000000004</v>
      </c>
      <c r="H55">
        <v>7.04</v>
      </c>
      <c r="I55">
        <v>6.94</v>
      </c>
      <c r="J55">
        <v>5.7</v>
      </c>
      <c r="K55" t="s">
        <v>57</v>
      </c>
      <c r="L55">
        <v>3.95</v>
      </c>
      <c r="M55" t="s">
        <v>57</v>
      </c>
      <c r="N55">
        <v>5.0999999999999996</v>
      </c>
      <c r="O55" t="s">
        <v>57</v>
      </c>
      <c r="P55">
        <v>5.26</v>
      </c>
      <c r="Q55">
        <v>8.2799999999999994</v>
      </c>
      <c r="R55">
        <v>8.64</v>
      </c>
      <c r="S55" t="s">
        <v>57</v>
      </c>
      <c r="T55">
        <v>7.17</v>
      </c>
      <c r="U55">
        <v>6.31</v>
      </c>
      <c r="V55">
        <v>5.82</v>
      </c>
      <c r="W55">
        <v>5.59</v>
      </c>
      <c r="X55">
        <v>5.6</v>
      </c>
      <c r="Y55" t="s">
        <v>57</v>
      </c>
      <c r="Z55">
        <v>0</v>
      </c>
      <c r="AA55">
        <v>0</v>
      </c>
    </row>
    <row r="56" spans="1:27">
      <c r="A56">
        <v>0</v>
      </c>
      <c r="B56">
        <v>67</v>
      </c>
      <c r="C56">
        <v>750</v>
      </c>
      <c r="D56">
        <v>6.16</v>
      </c>
      <c r="E56">
        <v>5.62</v>
      </c>
      <c r="F56">
        <v>8.15</v>
      </c>
      <c r="G56">
        <v>5.16</v>
      </c>
      <c r="H56">
        <v>7.31</v>
      </c>
      <c r="I56">
        <v>7.25</v>
      </c>
      <c r="J56">
        <v>5.94</v>
      </c>
      <c r="K56" t="s">
        <v>57</v>
      </c>
      <c r="L56">
        <v>4.0999999999999996</v>
      </c>
      <c r="M56" t="s">
        <v>57</v>
      </c>
      <c r="N56">
        <v>5.3</v>
      </c>
      <c r="O56" t="s">
        <v>57</v>
      </c>
      <c r="P56">
        <v>5.5</v>
      </c>
      <c r="Q56">
        <v>8.6199999999999992</v>
      </c>
      <c r="R56">
        <v>9.02</v>
      </c>
      <c r="S56" t="s">
        <v>57</v>
      </c>
      <c r="T56">
        <v>7.47</v>
      </c>
      <c r="U56">
        <v>6.57</v>
      </c>
      <c r="V56">
        <v>6.06</v>
      </c>
      <c r="W56">
        <v>5.83</v>
      </c>
      <c r="X56">
        <v>5.85</v>
      </c>
      <c r="Y56" t="s">
        <v>57</v>
      </c>
      <c r="Z56">
        <v>0</v>
      </c>
      <c r="AA56">
        <v>0</v>
      </c>
    </row>
    <row r="57" spans="1:27">
      <c r="A57">
        <v>0</v>
      </c>
      <c r="B57">
        <v>69</v>
      </c>
      <c r="C57">
        <v>775</v>
      </c>
      <c r="D57">
        <v>6.43</v>
      </c>
      <c r="E57">
        <v>5.86</v>
      </c>
      <c r="F57">
        <v>8.4700000000000006</v>
      </c>
      <c r="G57">
        <v>5.38</v>
      </c>
      <c r="H57">
        <v>7.58</v>
      </c>
      <c r="I57">
        <v>7.55</v>
      </c>
      <c r="J57">
        <v>6.18</v>
      </c>
      <c r="K57" t="s">
        <v>57</v>
      </c>
      <c r="L57">
        <v>4.3</v>
      </c>
      <c r="M57" t="s">
        <v>57</v>
      </c>
      <c r="N57">
        <v>5.5</v>
      </c>
      <c r="O57" t="s">
        <v>57</v>
      </c>
      <c r="P57">
        <v>5.74</v>
      </c>
      <c r="Q57">
        <v>8.9600000000000009</v>
      </c>
      <c r="R57">
        <v>9.4</v>
      </c>
      <c r="S57" t="s">
        <v>57</v>
      </c>
      <c r="T57">
        <v>7.76</v>
      </c>
      <c r="U57">
        <v>6.84</v>
      </c>
      <c r="V57">
        <v>6.31</v>
      </c>
      <c r="W57">
        <v>6.06</v>
      </c>
      <c r="X57">
        <v>6.1</v>
      </c>
      <c r="Y57" t="s">
        <v>57</v>
      </c>
      <c r="Z57">
        <v>0</v>
      </c>
      <c r="AA57">
        <v>0</v>
      </c>
    </row>
    <row r="58" spans="1:27">
      <c r="A58">
        <v>0</v>
      </c>
      <c r="B58">
        <v>70</v>
      </c>
      <c r="C58">
        <v>800</v>
      </c>
      <c r="D58">
        <v>6.7</v>
      </c>
      <c r="E58">
        <v>6.1</v>
      </c>
      <c r="F58">
        <v>8.8000000000000007</v>
      </c>
      <c r="G58">
        <v>5.6</v>
      </c>
      <c r="H58">
        <v>7.85</v>
      </c>
      <c r="I58">
        <v>7.85</v>
      </c>
      <c r="J58">
        <v>6.43</v>
      </c>
      <c r="K58" t="s">
        <v>57</v>
      </c>
      <c r="L58">
        <v>4.5</v>
      </c>
      <c r="M58" t="s">
        <v>57</v>
      </c>
      <c r="N58">
        <v>5.7</v>
      </c>
      <c r="O58" t="s">
        <v>57</v>
      </c>
      <c r="P58">
        <v>5.98</v>
      </c>
      <c r="Q58">
        <v>9.3000000000000007</v>
      </c>
      <c r="R58">
        <v>9.7799999999999994</v>
      </c>
      <c r="S58" t="s">
        <v>57</v>
      </c>
      <c r="T58">
        <v>8.06</v>
      </c>
      <c r="U58">
        <v>7.1</v>
      </c>
      <c r="V58">
        <v>6.56</v>
      </c>
      <c r="W58">
        <v>6.3</v>
      </c>
      <c r="X58">
        <v>6.35</v>
      </c>
      <c r="Y58" t="s">
        <v>57</v>
      </c>
      <c r="Z58">
        <v>0</v>
      </c>
      <c r="AA58">
        <v>0</v>
      </c>
    </row>
    <row r="59" spans="1:27">
      <c r="A59">
        <v>0</v>
      </c>
      <c r="B59">
        <v>71</v>
      </c>
      <c r="C59">
        <v>825</v>
      </c>
      <c r="D59">
        <v>6.97</v>
      </c>
      <c r="E59">
        <v>6.34</v>
      </c>
      <c r="F59">
        <v>9.1300000000000008</v>
      </c>
      <c r="G59">
        <v>5.82</v>
      </c>
      <c r="H59">
        <v>8.15</v>
      </c>
      <c r="I59">
        <v>8.16</v>
      </c>
      <c r="J59">
        <v>6.68</v>
      </c>
      <c r="K59" t="s">
        <v>57</v>
      </c>
      <c r="L59" t="s">
        <v>57</v>
      </c>
      <c r="M59" t="s">
        <v>57</v>
      </c>
      <c r="N59">
        <v>5.9</v>
      </c>
      <c r="O59" t="s">
        <v>57</v>
      </c>
      <c r="P59">
        <v>6.22</v>
      </c>
      <c r="Q59">
        <v>9.64</v>
      </c>
      <c r="R59">
        <v>10.17</v>
      </c>
      <c r="S59" t="s">
        <v>57</v>
      </c>
      <c r="T59">
        <v>8.35</v>
      </c>
      <c r="U59" t="s">
        <v>57</v>
      </c>
      <c r="V59">
        <v>6.81</v>
      </c>
      <c r="W59">
        <v>6.54</v>
      </c>
      <c r="X59">
        <v>6.59</v>
      </c>
      <c r="Y59" t="s">
        <v>57</v>
      </c>
      <c r="Z59">
        <v>0</v>
      </c>
      <c r="AA59">
        <v>0</v>
      </c>
    </row>
    <row r="60" spans="1:27">
      <c r="A60">
        <v>0</v>
      </c>
      <c r="B60">
        <v>72</v>
      </c>
      <c r="C60">
        <v>850</v>
      </c>
      <c r="D60">
        <v>7.25</v>
      </c>
      <c r="E60">
        <v>6.59</v>
      </c>
      <c r="F60">
        <v>9.4600000000000009</v>
      </c>
      <c r="G60">
        <v>6.05</v>
      </c>
      <c r="H60">
        <v>8.4499999999999993</v>
      </c>
      <c r="I60">
        <v>8.48</v>
      </c>
      <c r="J60">
        <v>6.93</v>
      </c>
      <c r="K60" t="s">
        <v>57</v>
      </c>
      <c r="L60" t="s">
        <v>57</v>
      </c>
      <c r="M60" t="s">
        <v>57</v>
      </c>
      <c r="N60">
        <v>6.1</v>
      </c>
      <c r="O60" t="s">
        <v>57</v>
      </c>
      <c r="P60">
        <v>6.47</v>
      </c>
      <c r="Q60">
        <v>9.99</v>
      </c>
      <c r="R60">
        <v>10.57</v>
      </c>
      <c r="S60" t="s">
        <v>57</v>
      </c>
      <c r="T60">
        <v>8.66</v>
      </c>
      <c r="U60" t="s">
        <v>57</v>
      </c>
      <c r="V60">
        <v>7.06</v>
      </c>
      <c r="W60">
        <v>6.78</v>
      </c>
      <c r="X60">
        <v>6.85</v>
      </c>
      <c r="Y60" t="s">
        <v>57</v>
      </c>
      <c r="Z60">
        <v>0</v>
      </c>
      <c r="AA60">
        <v>0</v>
      </c>
    </row>
    <row r="61" spans="1:27">
      <c r="A61">
        <v>0</v>
      </c>
      <c r="B61">
        <v>74</v>
      </c>
      <c r="C61">
        <v>875</v>
      </c>
      <c r="D61">
        <v>7.53</v>
      </c>
      <c r="E61">
        <v>6.83</v>
      </c>
      <c r="F61">
        <v>9.7899999999999991</v>
      </c>
      <c r="G61">
        <v>6.27</v>
      </c>
      <c r="H61">
        <v>8.75</v>
      </c>
      <c r="I61">
        <v>8.8000000000000007</v>
      </c>
      <c r="J61">
        <v>7.18</v>
      </c>
      <c r="K61" t="s">
        <v>57</v>
      </c>
      <c r="L61" t="s">
        <v>57</v>
      </c>
      <c r="M61" t="s">
        <v>57</v>
      </c>
      <c r="N61">
        <v>6.3</v>
      </c>
      <c r="O61" t="s">
        <v>57</v>
      </c>
      <c r="P61">
        <v>6.72</v>
      </c>
      <c r="Q61">
        <v>10.33</v>
      </c>
      <c r="R61">
        <v>10.96</v>
      </c>
      <c r="S61" t="s">
        <v>57</v>
      </c>
      <c r="T61">
        <v>8.9499999999999993</v>
      </c>
      <c r="U61" t="s">
        <v>57</v>
      </c>
      <c r="V61">
        <v>7.31</v>
      </c>
      <c r="W61">
        <v>7.02</v>
      </c>
      <c r="X61">
        <v>7.09</v>
      </c>
      <c r="Y61" t="s">
        <v>57</v>
      </c>
      <c r="Z61">
        <v>0</v>
      </c>
      <c r="AA61">
        <v>0</v>
      </c>
    </row>
    <row r="62" spans="1:27">
      <c r="A62">
        <v>0</v>
      </c>
      <c r="B62">
        <v>75</v>
      </c>
      <c r="C62">
        <v>900</v>
      </c>
      <c r="D62">
        <v>7.81</v>
      </c>
      <c r="E62">
        <v>7.07</v>
      </c>
      <c r="F62">
        <v>10.119999999999999</v>
      </c>
      <c r="G62">
        <v>6.49</v>
      </c>
      <c r="H62">
        <v>9.0500000000000007</v>
      </c>
      <c r="I62">
        <v>9.1199999999999992</v>
      </c>
      <c r="J62">
        <v>7.43</v>
      </c>
      <c r="K62" t="s">
        <v>57</v>
      </c>
      <c r="L62" t="s">
        <v>57</v>
      </c>
      <c r="M62" t="s">
        <v>57</v>
      </c>
      <c r="N62">
        <v>6.5</v>
      </c>
      <c r="O62" t="s">
        <v>57</v>
      </c>
      <c r="P62">
        <v>6.97</v>
      </c>
      <c r="Q62">
        <v>10.68</v>
      </c>
      <c r="R62">
        <v>11.35</v>
      </c>
      <c r="S62" t="s">
        <v>57</v>
      </c>
      <c r="T62">
        <v>9.26</v>
      </c>
      <c r="U62" t="s">
        <v>57</v>
      </c>
      <c r="V62">
        <v>7.57</v>
      </c>
      <c r="W62">
        <v>7.29</v>
      </c>
      <c r="X62">
        <v>7.35</v>
      </c>
      <c r="Y62" t="s">
        <v>57</v>
      </c>
      <c r="Z62">
        <v>0</v>
      </c>
      <c r="AA62">
        <v>0</v>
      </c>
    </row>
    <row r="63" spans="1:27">
      <c r="A63">
        <v>0</v>
      </c>
      <c r="B63">
        <v>76</v>
      </c>
      <c r="C63">
        <v>925</v>
      </c>
      <c r="D63">
        <v>8.08</v>
      </c>
      <c r="E63">
        <v>7.31</v>
      </c>
      <c r="F63">
        <v>10.46</v>
      </c>
      <c r="G63">
        <v>6.71</v>
      </c>
      <c r="H63">
        <v>9.35</v>
      </c>
      <c r="I63">
        <v>9.44</v>
      </c>
      <c r="J63">
        <v>7.68</v>
      </c>
      <c r="K63" t="s">
        <v>57</v>
      </c>
      <c r="L63" t="s">
        <v>57</v>
      </c>
      <c r="M63" t="s">
        <v>57</v>
      </c>
      <c r="N63">
        <v>6.7</v>
      </c>
      <c r="O63" t="s">
        <v>57</v>
      </c>
      <c r="P63">
        <v>7.23</v>
      </c>
      <c r="Q63">
        <v>11.02</v>
      </c>
      <c r="R63">
        <v>11.75</v>
      </c>
      <c r="S63" t="s">
        <v>57</v>
      </c>
      <c r="T63">
        <v>9.56</v>
      </c>
      <c r="U63" t="s">
        <v>57</v>
      </c>
      <c r="V63">
        <v>7.82</v>
      </c>
      <c r="W63">
        <v>7.51</v>
      </c>
      <c r="X63">
        <v>7.64</v>
      </c>
      <c r="Y63" t="s">
        <v>57</v>
      </c>
      <c r="Z63">
        <v>0</v>
      </c>
      <c r="AA63">
        <v>0</v>
      </c>
    </row>
    <row r="64" spans="1:27">
      <c r="A64">
        <v>0</v>
      </c>
      <c r="B64">
        <v>77</v>
      </c>
      <c r="C64">
        <v>950</v>
      </c>
      <c r="D64">
        <v>8.35</v>
      </c>
      <c r="E64">
        <v>7.56</v>
      </c>
      <c r="F64">
        <v>10.8</v>
      </c>
      <c r="G64">
        <v>6.94</v>
      </c>
      <c r="H64">
        <v>9.65</v>
      </c>
      <c r="I64">
        <v>9.77</v>
      </c>
      <c r="J64">
        <v>7.93</v>
      </c>
      <c r="K64" t="s">
        <v>57</v>
      </c>
      <c r="L64" t="s">
        <v>57</v>
      </c>
      <c r="M64" t="s">
        <v>57</v>
      </c>
      <c r="N64">
        <v>6.9</v>
      </c>
      <c r="O64" t="s">
        <v>57</v>
      </c>
      <c r="P64">
        <v>7.5</v>
      </c>
      <c r="Q64">
        <v>11.37</v>
      </c>
      <c r="R64">
        <v>12.16</v>
      </c>
      <c r="S64" t="s">
        <v>57</v>
      </c>
      <c r="T64">
        <v>9.8699999999999992</v>
      </c>
      <c r="U64" t="s">
        <v>57</v>
      </c>
      <c r="V64">
        <v>8.08</v>
      </c>
      <c r="W64">
        <v>7.76</v>
      </c>
      <c r="X64">
        <v>7.86</v>
      </c>
      <c r="Y64" t="s">
        <v>57</v>
      </c>
      <c r="Z64">
        <v>0</v>
      </c>
      <c r="AA64">
        <v>0</v>
      </c>
    </row>
    <row r="65" spans="1:27">
      <c r="A65">
        <v>0</v>
      </c>
      <c r="B65">
        <v>79</v>
      </c>
      <c r="C65">
        <v>975</v>
      </c>
      <c r="D65">
        <v>8.6199999999999992</v>
      </c>
      <c r="E65">
        <v>7.81</v>
      </c>
      <c r="F65">
        <v>11.14</v>
      </c>
      <c r="G65">
        <v>7.17</v>
      </c>
      <c r="H65">
        <v>9.9499999999999993</v>
      </c>
      <c r="I65">
        <v>10.09</v>
      </c>
      <c r="J65">
        <v>8.17</v>
      </c>
      <c r="K65" t="s">
        <v>57</v>
      </c>
      <c r="L65" t="s">
        <v>57</v>
      </c>
      <c r="M65" t="s">
        <v>57</v>
      </c>
      <c r="N65">
        <v>7.1</v>
      </c>
      <c r="O65" t="s">
        <v>57</v>
      </c>
      <c r="P65">
        <v>7.76</v>
      </c>
      <c r="Q65">
        <v>11.71</v>
      </c>
      <c r="R65">
        <v>12.57</v>
      </c>
      <c r="S65" t="s">
        <v>57</v>
      </c>
      <c r="T65">
        <v>10.18</v>
      </c>
      <c r="U65" t="s">
        <v>57</v>
      </c>
      <c r="V65">
        <v>8.34</v>
      </c>
      <c r="W65">
        <v>8.01</v>
      </c>
      <c r="X65">
        <v>8.11</v>
      </c>
      <c r="Y65" t="s">
        <v>57</v>
      </c>
      <c r="Z65">
        <v>0</v>
      </c>
      <c r="AA65">
        <v>0</v>
      </c>
    </row>
    <row r="66" spans="1:27">
      <c r="A66">
        <v>0</v>
      </c>
      <c r="B66">
        <v>80</v>
      </c>
      <c r="C66">
        <v>1000</v>
      </c>
      <c r="D66">
        <v>8.89</v>
      </c>
      <c r="E66">
        <v>8.06</v>
      </c>
      <c r="F66">
        <v>11.48</v>
      </c>
      <c r="G66">
        <v>7.4</v>
      </c>
      <c r="H66">
        <v>10.25</v>
      </c>
      <c r="I66">
        <v>10.42</v>
      </c>
      <c r="J66">
        <v>8.41</v>
      </c>
      <c r="K66" t="s">
        <v>57</v>
      </c>
      <c r="L66" t="s">
        <v>57</v>
      </c>
      <c r="M66" t="s">
        <v>57</v>
      </c>
      <c r="N66">
        <v>7.3</v>
      </c>
      <c r="O66" t="s">
        <v>57</v>
      </c>
      <c r="P66">
        <v>8.02</v>
      </c>
      <c r="Q66">
        <v>12.05</v>
      </c>
      <c r="R66">
        <v>12.98</v>
      </c>
      <c r="S66" t="s">
        <v>57</v>
      </c>
      <c r="T66">
        <v>10.49</v>
      </c>
      <c r="U66" t="s">
        <v>57</v>
      </c>
      <c r="V66">
        <v>8.6</v>
      </c>
      <c r="W66">
        <v>8.26</v>
      </c>
      <c r="X66">
        <v>8.35</v>
      </c>
      <c r="Y66" t="s">
        <v>57</v>
      </c>
      <c r="Z66">
        <v>0</v>
      </c>
      <c r="AA66">
        <v>0</v>
      </c>
    </row>
    <row r="67" spans="1:27">
      <c r="A67">
        <v>0</v>
      </c>
      <c r="B67">
        <v>81</v>
      </c>
      <c r="C67">
        <v>1025</v>
      </c>
      <c r="D67">
        <v>9.17</v>
      </c>
      <c r="E67">
        <v>8.3000000000000007</v>
      </c>
      <c r="F67">
        <v>11.82</v>
      </c>
      <c r="G67">
        <v>7.62</v>
      </c>
      <c r="H67">
        <v>10.55</v>
      </c>
      <c r="I67">
        <v>10.75</v>
      </c>
      <c r="J67" t="s">
        <v>57</v>
      </c>
      <c r="K67" t="s">
        <v>57</v>
      </c>
      <c r="L67" t="s">
        <v>57</v>
      </c>
      <c r="M67" t="s">
        <v>57</v>
      </c>
      <c r="N67">
        <v>7.5</v>
      </c>
      <c r="O67" t="s">
        <v>57</v>
      </c>
      <c r="P67" t="s">
        <v>57</v>
      </c>
      <c r="Q67">
        <v>12.4</v>
      </c>
      <c r="R67">
        <v>13.39</v>
      </c>
      <c r="S67" t="s">
        <v>57</v>
      </c>
      <c r="T67">
        <v>10.8</v>
      </c>
      <c r="U67" t="s">
        <v>57</v>
      </c>
      <c r="V67">
        <v>8.8699999999999992</v>
      </c>
      <c r="W67">
        <v>8.52</v>
      </c>
      <c r="X67" t="s">
        <v>57</v>
      </c>
      <c r="Y67" t="s">
        <v>57</v>
      </c>
      <c r="Z67">
        <v>0</v>
      </c>
      <c r="AA67">
        <v>0</v>
      </c>
    </row>
    <row r="68" spans="1:27">
      <c r="A68">
        <v>0</v>
      </c>
      <c r="B68">
        <v>82</v>
      </c>
      <c r="C68">
        <v>1050</v>
      </c>
      <c r="D68">
        <v>9.4600000000000009</v>
      </c>
      <c r="E68">
        <v>8.5500000000000007</v>
      </c>
      <c r="F68">
        <v>12.16</v>
      </c>
      <c r="G68">
        <v>7.95</v>
      </c>
      <c r="H68">
        <v>10.85</v>
      </c>
      <c r="I68">
        <v>11.09</v>
      </c>
      <c r="J68" t="s">
        <v>57</v>
      </c>
      <c r="K68" t="s">
        <v>57</v>
      </c>
      <c r="L68" t="s">
        <v>57</v>
      </c>
      <c r="M68" t="s">
        <v>57</v>
      </c>
      <c r="N68">
        <v>7.7</v>
      </c>
      <c r="O68" t="s">
        <v>57</v>
      </c>
      <c r="P68" t="s">
        <v>57</v>
      </c>
      <c r="Q68">
        <v>12.76</v>
      </c>
      <c r="R68">
        <v>13.81</v>
      </c>
      <c r="S68" t="s">
        <v>57</v>
      </c>
      <c r="T68">
        <v>11.11</v>
      </c>
      <c r="U68" t="s">
        <v>57</v>
      </c>
      <c r="V68">
        <v>9.1300000000000008</v>
      </c>
      <c r="W68">
        <v>8.77</v>
      </c>
      <c r="X68" t="s">
        <v>57</v>
      </c>
      <c r="Y68" t="s">
        <v>57</v>
      </c>
      <c r="Z68">
        <v>0</v>
      </c>
      <c r="AA68">
        <v>0</v>
      </c>
    </row>
    <row r="69" spans="1:27">
      <c r="A69">
        <v>0</v>
      </c>
      <c r="B69">
        <v>84</v>
      </c>
      <c r="C69">
        <v>1075</v>
      </c>
      <c r="D69">
        <v>9.75</v>
      </c>
      <c r="E69">
        <v>8.8000000000000007</v>
      </c>
      <c r="F69">
        <v>12.5</v>
      </c>
      <c r="G69">
        <v>8.18</v>
      </c>
      <c r="H69">
        <v>11.15</v>
      </c>
      <c r="I69">
        <v>11.43</v>
      </c>
      <c r="J69" t="s">
        <v>57</v>
      </c>
      <c r="K69" t="s">
        <v>57</v>
      </c>
      <c r="L69" t="s">
        <v>57</v>
      </c>
      <c r="M69" t="s">
        <v>57</v>
      </c>
      <c r="N69">
        <v>7.9</v>
      </c>
      <c r="O69" t="s">
        <v>57</v>
      </c>
      <c r="P69" t="s">
        <v>57</v>
      </c>
      <c r="Q69">
        <v>13.11</v>
      </c>
      <c r="R69">
        <v>14.23</v>
      </c>
      <c r="S69" t="s">
        <v>57</v>
      </c>
      <c r="T69">
        <v>11.42</v>
      </c>
      <c r="U69" t="s">
        <v>57</v>
      </c>
      <c r="V69">
        <v>9.4</v>
      </c>
      <c r="W69">
        <v>9.02</v>
      </c>
      <c r="X69" t="s">
        <v>57</v>
      </c>
      <c r="Y69" t="s">
        <v>57</v>
      </c>
      <c r="Z69">
        <v>0</v>
      </c>
      <c r="AA69">
        <v>0</v>
      </c>
    </row>
    <row r="70" spans="1:27">
      <c r="A70">
        <v>0</v>
      </c>
      <c r="B70">
        <v>85</v>
      </c>
      <c r="C70">
        <v>1100</v>
      </c>
      <c r="D70">
        <v>10.039999999999999</v>
      </c>
      <c r="E70">
        <v>9.0500000000000007</v>
      </c>
      <c r="F70">
        <v>12.84</v>
      </c>
      <c r="G70">
        <v>8.31</v>
      </c>
      <c r="H70">
        <v>11.45</v>
      </c>
      <c r="I70">
        <v>11.77</v>
      </c>
      <c r="J70" t="s">
        <v>57</v>
      </c>
      <c r="K70" t="s">
        <v>57</v>
      </c>
      <c r="L70" t="s">
        <v>57</v>
      </c>
      <c r="M70" t="s">
        <v>57</v>
      </c>
      <c r="N70">
        <v>8.1</v>
      </c>
      <c r="O70" t="s">
        <v>57</v>
      </c>
      <c r="P70" t="s">
        <v>57</v>
      </c>
      <c r="Q70">
        <v>13.47</v>
      </c>
      <c r="R70">
        <v>14.65</v>
      </c>
      <c r="S70" t="s">
        <v>57</v>
      </c>
      <c r="T70">
        <v>11.74</v>
      </c>
      <c r="U70" t="s">
        <v>57</v>
      </c>
      <c r="V70">
        <v>9.67</v>
      </c>
      <c r="W70">
        <v>9.2799999999999994</v>
      </c>
      <c r="X70" t="s">
        <v>57</v>
      </c>
      <c r="Y70" t="s">
        <v>57</v>
      </c>
      <c r="Z70">
        <v>0</v>
      </c>
      <c r="AA70">
        <v>0</v>
      </c>
    </row>
    <row r="71" spans="1:27">
      <c r="A71">
        <v>0</v>
      </c>
      <c r="B71">
        <v>86</v>
      </c>
      <c r="C71">
        <v>1125</v>
      </c>
      <c r="D71">
        <v>10.31</v>
      </c>
      <c r="E71">
        <v>9.2799999999999994</v>
      </c>
      <c r="F71">
        <v>13.18</v>
      </c>
      <c r="G71">
        <v>8.5299999999999994</v>
      </c>
      <c r="H71">
        <v>11.78</v>
      </c>
      <c r="I71">
        <v>12.11</v>
      </c>
      <c r="J71" t="s">
        <v>57</v>
      </c>
      <c r="K71" t="s">
        <v>57</v>
      </c>
      <c r="L71" t="s">
        <v>57</v>
      </c>
      <c r="M71" t="s">
        <v>57</v>
      </c>
      <c r="N71">
        <v>8.3000000000000007</v>
      </c>
      <c r="O71" t="s">
        <v>57</v>
      </c>
      <c r="P71" t="s">
        <v>57</v>
      </c>
      <c r="Q71" t="s">
        <v>57</v>
      </c>
      <c r="R71" t="s">
        <v>57</v>
      </c>
      <c r="S71" t="s">
        <v>57</v>
      </c>
      <c r="T71">
        <v>12.05</v>
      </c>
      <c r="U71" t="s">
        <v>57</v>
      </c>
      <c r="V71">
        <v>9.94</v>
      </c>
      <c r="W71">
        <v>9.5299999999999994</v>
      </c>
      <c r="X71" t="s">
        <v>57</v>
      </c>
      <c r="Y71" t="s">
        <v>57</v>
      </c>
      <c r="Z71">
        <v>0</v>
      </c>
      <c r="AA71">
        <v>0</v>
      </c>
    </row>
    <row r="72" spans="1:27">
      <c r="A72">
        <v>0</v>
      </c>
      <c r="B72">
        <v>87</v>
      </c>
      <c r="C72">
        <v>1150</v>
      </c>
      <c r="D72">
        <v>10.57</v>
      </c>
      <c r="E72">
        <v>9.52</v>
      </c>
      <c r="F72">
        <v>13.52</v>
      </c>
      <c r="G72">
        <v>8.76</v>
      </c>
      <c r="H72">
        <v>12.11</v>
      </c>
      <c r="I72">
        <v>12.47</v>
      </c>
      <c r="J72" t="s">
        <v>57</v>
      </c>
      <c r="K72" t="s">
        <v>57</v>
      </c>
      <c r="L72" t="s">
        <v>57</v>
      </c>
      <c r="M72" t="s">
        <v>57</v>
      </c>
      <c r="N72">
        <v>8.5</v>
      </c>
      <c r="O72" t="s">
        <v>57</v>
      </c>
      <c r="P72" t="s">
        <v>57</v>
      </c>
      <c r="Q72" t="s">
        <v>57</v>
      </c>
      <c r="R72" t="s">
        <v>57</v>
      </c>
      <c r="S72" t="s">
        <v>57</v>
      </c>
      <c r="T72">
        <v>12.38</v>
      </c>
      <c r="U72" t="s">
        <v>57</v>
      </c>
      <c r="V72">
        <v>10.210000000000001</v>
      </c>
      <c r="W72">
        <v>9.7899999999999991</v>
      </c>
      <c r="X72" t="s">
        <v>57</v>
      </c>
      <c r="Y72" t="s">
        <v>57</v>
      </c>
      <c r="Z72">
        <v>0</v>
      </c>
      <c r="AA72">
        <v>0</v>
      </c>
    </row>
    <row r="73" spans="1:27">
      <c r="A73">
        <v>0</v>
      </c>
      <c r="B73">
        <v>89</v>
      </c>
      <c r="C73">
        <v>1175</v>
      </c>
      <c r="D73">
        <v>10.83</v>
      </c>
      <c r="E73">
        <v>9.76</v>
      </c>
      <c r="F73">
        <v>13.86</v>
      </c>
      <c r="G73">
        <v>8.98</v>
      </c>
      <c r="H73">
        <v>12.44</v>
      </c>
      <c r="I73">
        <v>12.81</v>
      </c>
      <c r="J73" t="s">
        <v>57</v>
      </c>
      <c r="K73" t="s">
        <v>57</v>
      </c>
      <c r="L73" t="s">
        <v>57</v>
      </c>
      <c r="M73" t="s">
        <v>57</v>
      </c>
      <c r="N73">
        <v>8.75</v>
      </c>
      <c r="O73" t="s">
        <v>57</v>
      </c>
      <c r="P73" t="s">
        <v>57</v>
      </c>
      <c r="Q73" t="s">
        <v>57</v>
      </c>
      <c r="R73" t="s">
        <v>57</v>
      </c>
      <c r="S73" t="s">
        <v>57</v>
      </c>
      <c r="T73">
        <v>12.69</v>
      </c>
      <c r="U73" t="s">
        <v>57</v>
      </c>
      <c r="V73">
        <v>10.48</v>
      </c>
      <c r="W73">
        <v>10.050000000000001</v>
      </c>
      <c r="X73" t="s">
        <v>57</v>
      </c>
      <c r="Y73" t="s">
        <v>57</v>
      </c>
      <c r="Z73">
        <v>0</v>
      </c>
      <c r="AA73">
        <v>0</v>
      </c>
    </row>
    <row r="74" spans="1:27">
      <c r="A74">
        <v>0</v>
      </c>
      <c r="B74">
        <v>90</v>
      </c>
      <c r="C74">
        <v>1200</v>
      </c>
      <c r="D74">
        <v>11.1</v>
      </c>
      <c r="E74">
        <v>10</v>
      </c>
      <c r="F74">
        <v>14.2</v>
      </c>
      <c r="G74">
        <v>9.1999999999999993</v>
      </c>
      <c r="H74">
        <v>12.77</v>
      </c>
      <c r="I74">
        <v>13.15</v>
      </c>
      <c r="J74" t="s">
        <v>57</v>
      </c>
      <c r="K74" t="s">
        <v>57</v>
      </c>
      <c r="L74" t="s">
        <v>57</v>
      </c>
      <c r="M74" t="s">
        <v>57</v>
      </c>
      <c r="N74">
        <v>9</v>
      </c>
      <c r="O74" t="s">
        <v>57</v>
      </c>
      <c r="P74" t="s">
        <v>57</v>
      </c>
      <c r="Q74" t="s">
        <v>57</v>
      </c>
      <c r="R74" t="s">
        <v>57</v>
      </c>
      <c r="S74" t="s">
        <v>57</v>
      </c>
      <c r="T74">
        <v>13.02</v>
      </c>
      <c r="U74" t="s">
        <v>57</v>
      </c>
      <c r="V74">
        <v>10.75</v>
      </c>
      <c r="W74">
        <v>10.3</v>
      </c>
      <c r="X74" t="s">
        <v>57</v>
      </c>
      <c r="Y74" t="s">
        <v>57</v>
      </c>
      <c r="Z74">
        <v>0</v>
      </c>
      <c r="AA74">
        <v>0</v>
      </c>
    </row>
    <row r="75" spans="1:27">
      <c r="A75">
        <v>0</v>
      </c>
      <c r="B75">
        <v>91</v>
      </c>
      <c r="C75">
        <v>1225</v>
      </c>
      <c r="D75">
        <v>11.38</v>
      </c>
      <c r="E75">
        <v>10.26</v>
      </c>
      <c r="F75">
        <v>14.54</v>
      </c>
      <c r="G75">
        <v>9.42</v>
      </c>
      <c r="H75">
        <v>13.1</v>
      </c>
      <c r="I75">
        <v>13.5</v>
      </c>
      <c r="J75" t="s">
        <v>57</v>
      </c>
      <c r="K75" t="s">
        <v>57</v>
      </c>
      <c r="L75" t="s">
        <v>57</v>
      </c>
      <c r="M75" t="s">
        <v>57</v>
      </c>
      <c r="N75">
        <v>9.1999999999999993</v>
      </c>
      <c r="O75" t="s">
        <v>57</v>
      </c>
      <c r="P75" t="s">
        <v>57</v>
      </c>
      <c r="Q75" t="s">
        <v>57</v>
      </c>
      <c r="R75" t="s">
        <v>57</v>
      </c>
      <c r="S75" t="s">
        <v>57</v>
      </c>
      <c r="T75">
        <v>13.36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>
        <v>0</v>
      </c>
      <c r="AA75">
        <v>0</v>
      </c>
    </row>
    <row r="76" spans="1:27">
      <c r="A76">
        <v>0</v>
      </c>
      <c r="B76">
        <v>92</v>
      </c>
      <c r="C76">
        <v>1250</v>
      </c>
      <c r="D76">
        <v>11.66</v>
      </c>
      <c r="E76">
        <v>10.53</v>
      </c>
      <c r="F76">
        <v>14.88</v>
      </c>
      <c r="G76">
        <v>9.65</v>
      </c>
      <c r="H76">
        <v>13.43</v>
      </c>
      <c r="I76">
        <v>13.86</v>
      </c>
      <c r="J76" t="s">
        <v>57</v>
      </c>
      <c r="K76" t="s">
        <v>57</v>
      </c>
      <c r="L76" t="s">
        <v>57</v>
      </c>
      <c r="M76" t="s">
        <v>57</v>
      </c>
      <c r="N76">
        <v>9.4</v>
      </c>
      <c r="O76" t="s">
        <v>57</v>
      </c>
      <c r="P76" t="s">
        <v>57</v>
      </c>
      <c r="Q76" t="s">
        <v>57</v>
      </c>
      <c r="R76" t="s">
        <v>57</v>
      </c>
      <c r="S76" t="s">
        <v>57</v>
      </c>
      <c r="T76">
        <v>13.71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>
        <v>0</v>
      </c>
      <c r="AA76">
        <v>0</v>
      </c>
    </row>
    <row r="77" spans="1:27">
      <c r="A77">
        <v>0</v>
      </c>
      <c r="B77">
        <v>94</v>
      </c>
      <c r="C77">
        <v>1275</v>
      </c>
      <c r="D77">
        <v>11.94</v>
      </c>
      <c r="E77">
        <v>10.79</v>
      </c>
      <c r="F77">
        <v>15.22</v>
      </c>
      <c r="G77">
        <v>9.8800000000000008</v>
      </c>
      <c r="H77">
        <v>13.76</v>
      </c>
      <c r="I77">
        <v>14.22</v>
      </c>
      <c r="J77" t="s">
        <v>57</v>
      </c>
      <c r="K77" t="s">
        <v>57</v>
      </c>
      <c r="L77" t="s">
        <v>57</v>
      </c>
      <c r="M77" t="s">
        <v>57</v>
      </c>
      <c r="N77">
        <v>9.65</v>
      </c>
      <c r="O77" t="s">
        <v>57</v>
      </c>
      <c r="P77" t="s">
        <v>57</v>
      </c>
      <c r="Q77" t="s">
        <v>57</v>
      </c>
      <c r="R77" t="s">
        <v>57</v>
      </c>
      <c r="S77" t="s">
        <v>57</v>
      </c>
      <c r="T77">
        <v>14.04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>
        <v>0</v>
      </c>
      <c r="AA77">
        <v>0</v>
      </c>
    </row>
    <row r="78" spans="1:27">
      <c r="A78">
        <v>0</v>
      </c>
      <c r="B78">
        <v>95</v>
      </c>
      <c r="C78">
        <v>1300</v>
      </c>
      <c r="D78">
        <v>12.22</v>
      </c>
      <c r="E78">
        <v>11.06</v>
      </c>
      <c r="F78">
        <v>15.56</v>
      </c>
      <c r="G78">
        <v>10.11</v>
      </c>
      <c r="H78">
        <v>14.09</v>
      </c>
      <c r="I78">
        <v>14.58</v>
      </c>
      <c r="J78" t="s">
        <v>57</v>
      </c>
      <c r="K78" t="s">
        <v>57</v>
      </c>
      <c r="L78" t="s">
        <v>57</v>
      </c>
      <c r="M78" t="s">
        <v>57</v>
      </c>
      <c r="N78">
        <v>9.9</v>
      </c>
      <c r="O78" t="s">
        <v>57</v>
      </c>
      <c r="P78" t="s">
        <v>57</v>
      </c>
      <c r="Q78" t="s">
        <v>57</v>
      </c>
      <c r="R78" t="s">
        <v>57</v>
      </c>
      <c r="S78" t="s">
        <v>57</v>
      </c>
      <c r="T78">
        <v>14.39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>
        <v>0</v>
      </c>
      <c r="AA78">
        <v>0</v>
      </c>
    </row>
    <row r="79" spans="1:27">
      <c r="A79">
        <v>0</v>
      </c>
      <c r="B79">
        <v>96</v>
      </c>
      <c r="C79">
        <v>1325</v>
      </c>
      <c r="D79">
        <v>12.5</v>
      </c>
      <c r="E79">
        <v>11.3</v>
      </c>
      <c r="F79">
        <v>15.9</v>
      </c>
      <c r="G79">
        <v>10.33</v>
      </c>
      <c r="H79">
        <v>14.39</v>
      </c>
      <c r="I79">
        <v>14.94</v>
      </c>
      <c r="J79" t="s">
        <v>57</v>
      </c>
      <c r="K79" t="s">
        <v>57</v>
      </c>
      <c r="L79" t="s">
        <v>57</v>
      </c>
      <c r="M79" t="s">
        <v>57</v>
      </c>
      <c r="N79">
        <v>10.1</v>
      </c>
      <c r="O79" t="s">
        <v>57</v>
      </c>
      <c r="P79" t="s">
        <v>57</v>
      </c>
      <c r="Q79" t="s">
        <v>57</v>
      </c>
      <c r="R79" t="s">
        <v>57</v>
      </c>
      <c r="S79" t="s">
        <v>57</v>
      </c>
      <c r="T79">
        <v>14.74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>
        <v>0</v>
      </c>
      <c r="AA79">
        <v>0</v>
      </c>
    </row>
    <row r="80" spans="1:27">
      <c r="A80">
        <v>0</v>
      </c>
      <c r="B80">
        <v>97</v>
      </c>
      <c r="C80">
        <v>1350</v>
      </c>
      <c r="D80">
        <v>12.78</v>
      </c>
      <c r="E80">
        <v>11.55</v>
      </c>
      <c r="F80">
        <v>16.239999999999998</v>
      </c>
      <c r="G80">
        <v>10.56</v>
      </c>
      <c r="H80">
        <v>14.69</v>
      </c>
      <c r="I80">
        <v>15.3</v>
      </c>
      <c r="J80" t="s">
        <v>57</v>
      </c>
      <c r="K80" t="s">
        <v>57</v>
      </c>
      <c r="L80" t="s">
        <v>57</v>
      </c>
      <c r="M80" t="s">
        <v>57</v>
      </c>
      <c r="N80">
        <v>10.5</v>
      </c>
      <c r="O80" t="s">
        <v>57</v>
      </c>
      <c r="P80" t="s">
        <v>57</v>
      </c>
      <c r="Q80" t="s">
        <v>57</v>
      </c>
      <c r="R80" t="s">
        <v>57</v>
      </c>
      <c r="S80" t="s">
        <v>57</v>
      </c>
      <c r="T80">
        <v>15.1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>
        <v>0</v>
      </c>
      <c r="AA80">
        <v>0</v>
      </c>
    </row>
    <row r="81" spans="1:27">
      <c r="A81">
        <v>0</v>
      </c>
      <c r="B81">
        <v>99</v>
      </c>
      <c r="C81">
        <v>1375</v>
      </c>
      <c r="D81">
        <v>13.06</v>
      </c>
      <c r="E81">
        <v>11.8</v>
      </c>
      <c r="F81">
        <v>16.579999999999998</v>
      </c>
      <c r="G81">
        <v>10.78</v>
      </c>
      <c r="H81">
        <v>14.99</v>
      </c>
      <c r="I81">
        <v>15.66</v>
      </c>
      <c r="J81" t="s">
        <v>57</v>
      </c>
      <c r="K81" t="s">
        <v>57</v>
      </c>
      <c r="L81" t="s">
        <v>57</v>
      </c>
      <c r="M81" t="s">
        <v>57</v>
      </c>
      <c r="N81">
        <v>10.8</v>
      </c>
      <c r="O81" t="s">
        <v>57</v>
      </c>
      <c r="P81" t="s">
        <v>57</v>
      </c>
      <c r="Q81" t="s">
        <v>57</v>
      </c>
      <c r="R81" t="s">
        <v>57</v>
      </c>
      <c r="S81" t="s">
        <v>57</v>
      </c>
      <c r="T81">
        <v>15.44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>
        <v>0</v>
      </c>
      <c r="AA81">
        <v>0</v>
      </c>
    </row>
    <row r="82" spans="1:27">
      <c r="A82">
        <v>0</v>
      </c>
      <c r="B82">
        <v>100</v>
      </c>
      <c r="C82">
        <v>1400</v>
      </c>
      <c r="D82">
        <v>13.34</v>
      </c>
      <c r="E82">
        <v>12.05</v>
      </c>
      <c r="F82">
        <v>16.920000000000002</v>
      </c>
      <c r="G82">
        <v>11.01</v>
      </c>
      <c r="H82">
        <v>15.29</v>
      </c>
      <c r="I82">
        <v>16.02</v>
      </c>
      <c r="J82" t="s">
        <v>57</v>
      </c>
      <c r="K82" t="s">
        <v>57</v>
      </c>
      <c r="L82" t="s">
        <v>57</v>
      </c>
      <c r="M82" t="s">
        <v>57</v>
      </c>
      <c r="N82">
        <v>11.1</v>
      </c>
      <c r="O82" t="s">
        <v>57</v>
      </c>
      <c r="P82" t="s">
        <v>57</v>
      </c>
      <c r="Q82" t="s">
        <v>57</v>
      </c>
      <c r="R82" t="s">
        <v>57</v>
      </c>
      <c r="S82" t="s">
        <v>57</v>
      </c>
      <c r="T82">
        <v>15.8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>
        <v>0</v>
      </c>
      <c r="AA82">
        <v>0</v>
      </c>
    </row>
    <row r="83" spans="1:27">
      <c r="A83">
        <v>0</v>
      </c>
      <c r="B83">
        <v>101</v>
      </c>
      <c r="C83">
        <v>1425</v>
      </c>
      <c r="D83" t="s">
        <v>57</v>
      </c>
      <c r="E83" t="s">
        <v>57</v>
      </c>
      <c r="F83">
        <v>17.3</v>
      </c>
      <c r="G83" t="s">
        <v>57</v>
      </c>
      <c r="H83" t="s">
        <v>57</v>
      </c>
      <c r="I83" t="s">
        <v>57</v>
      </c>
      <c r="J83" t="s">
        <v>57</v>
      </c>
      <c r="K83" t="s">
        <v>57</v>
      </c>
      <c r="L83" t="s">
        <v>57</v>
      </c>
      <c r="M83" t="s">
        <v>57</v>
      </c>
      <c r="N83">
        <v>11.5</v>
      </c>
      <c r="O83" t="s">
        <v>57</v>
      </c>
      <c r="P83" t="s">
        <v>57</v>
      </c>
      <c r="Q83" t="s">
        <v>57</v>
      </c>
      <c r="R83" t="s">
        <v>57</v>
      </c>
      <c r="S83" t="s">
        <v>57</v>
      </c>
      <c r="T83">
        <v>16.16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>
        <v>0</v>
      </c>
      <c r="AA83">
        <v>0</v>
      </c>
    </row>
    <row r="84" spans="1:27">
      <c r="A84">
        <v>0</v>
      </c>
      <c r="B84">
        <v>102</v>
      </c>
      <c r="C84">
        <v>1450</v>
      </c>
      <c r="D84" t="s">
        <v>57</v>
      </c>
      <c r="E84" t="s">
        <v>57</v>
      </c>
      <c r="F84">
        <v>17.690000000000001</v>
      </c>
      <c r="G84" t="s">
        <v>57</v>
      </c>
      <c r="H84" t="s">
        <v>57</v>
      </c>
      <c r="I84" t="s">
        <v>57</v>
      </c>
      <c r="J84" t="s">
        <v>57</v>
      </c>
      <c r="K84" t="s">
        <v>57</v>
      </c>
      <c r="L84" t="s">
        <v>57</v>
      </c>
      <c r="M84" t="s">
        <v>57</v>
      </c>
      <c r="N84">
        <v>11.9</v>
      </c>
      <c r="O84" t="s">
        <v>57</v>
      </c>
      <c r="P84" t="s">
        <v>57</v>
      </c>
      <c r="Q84" t="s">
        <v>57</v>
      </c>
      <c r="R84" t="s">
        <v>57</v>
      </c>
      <c r="S84" t="s">
        <v>57</v>
      </c>
      <c r="T84">
        <v>16.53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>
        <v>0</v>
      </c>
      <c r="AA84">
        <v>0</v>
      </c>
    </row>
    <row r="85" spans="1:27">
      <c r="A85">
        <v>0</v>
      </c>
      <c r="B85">
        <v>104</v>
      </c>
      <c r="C85">
        <v>1475</v>
      </c>
      <c r="D85" t="s">
        <v>57</v>
      </c>
      <c r="E85" t="s">
        <v>57</v>
      </c>
      <c r="F85">
        <v>18.079999999999998</v>
      </c>
      <c r="G85" t="s">
        <v>57</v>
      </c>
      <c r="H85" t="s">
        <v>57</v>
      </c>
      <c r="I85" t="s">
        <v>57</v>
      </c>
      <c r="J85" t="s">
        <v>57</v>
      </c>
      <c r="K85" t="s">
        <v>57</v>
      </c>
      <c r="L85" t="s">
        <v>57</v>
      </c>
      <c r="M85" t="s">
        <v>57</v>
      </c>
      <c r="N85">
        <v>12.3</v>
      </c>
      <c r="O85" t="s">
        <v>57</v>
      </c>
      <c r="P85" t="s">
        <v>57</v>
      </c>
      <c r="Q85" t="s">
        <v>57</v>
      </c>
      <c r="R85" t="s">
        <v>57</v>
      </c>
      <c r="S85" t="s">
        <v>57</v>
      </c>
      <c r="T85">
        <v>16.88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>
        <v>0</v>
      </c>
      <c r="AA85">
        <v>0</v>
      </c>
    </row>
    <row r="86" spans="1:27">
      <c r="A86">
        <v>0</v>
      </c>
      <c r="B86">
        <v>105</v>
      </c>
      <c r="C86">
        <v>1500</v>
      </c>
      <c r="D86" t="s">
        <v>57</v>
      </c>
      <c r="E86" t="s">
        <v>57</v>
      </c>
      <c r="F86">
        <v>18.47</v>
      </c>
      <c r="G86" t="s">
        <v>57</v>
      </c>
      <c r="H86" t="s">
        <v>57</v>
      </c>
      <c r="I86" t="s">
        <v>57</v>
      </c>
      <c r="J86" t="s">
        <v>57</v>
      </c>
      <c r="K86" t="s">
        <v>57</v>
      </c>
      <c r="L86" t="s">
        <v>57</v>
      </c>
      <c r="M86" t="s">
        <v>57</v>
      </c>
      <c r="N86">
        <v>12.7</v>
      </c>
      <c r="O86" t="s">
        <v>57</v>
      </c>
      <c r="P86" t="s">
        <v>57</v>
      </c>
      <c r="Q86" t="s">
        <v>57</v>
      </c>
      <c r="R86" t="s">
        <v>57</v>
      </c>
      <c r="S86" t="s">
        <v>57</v>
      </c>
      <c r="T86">
        <v>17.25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>
        <v>0</v>
      </c>
      <c r="AA86">
        <v>0</v>
      </c>
    </row>
    <row r="87" spans="1:27">
      <c r="A87">
        <v>0</v>
      </c>
      <c r="B87">
        <v>106</v>
      </c>
      <c r="C87" t="s">
        <v>58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>
        <v>0</v>
      </c>
      <c r="B88">
        <v>107</v>
      </c>
      <c r="C88" t="s">
        <v>59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>
        <v>0</v>
      </c>
      <c r="B89">
        <v>108</v>
      </c>
      <c r="C89" t="s">
        <v>60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Diameter data</vt:lpstr>
      <vt:lpstr>Thermal Co-efficient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SG, Ramkumar</dc:creator>
  <cp:lastModifiedBy>SG, Ramkumar</cp:lastModifiedBy>
  <dcterms:created xsi:type="dcterms:W3CDTF">2020-09-15T16:10:12Z</dcterms:created>
  <dcterms:modified xsi:type="dcterms:W3CDTF">2020-09-15T18:25:36Z</dcterms:modified>
</cp:coreProperties>
</file>