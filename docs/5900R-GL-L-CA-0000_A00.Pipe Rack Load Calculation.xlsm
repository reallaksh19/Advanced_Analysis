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kshmanan.k\OneDrive - Petrofac\6J\Workshare\005 Piping Stress\005-20 Calculations\005-207 Master spreadsheets\"/>
    </mc:Choice>
  </mc:AlternateContent>
  <xr:revisionPtr revIDLastSave="39" documentId="8_{5E0A461F-6C17-4776-B017-6BCB36DB6725}" xr6:coauthVersionLast="44" xr6:coauthVersionMax="47" xr10:uidLastSave="{B618F77B-BDB5-4C6F-9683-3718F1DD5014}"/>
  <bookViews>
    <workbookView xWindow="9870" yWindow="5055" windowWidth="18270" windowHeight="9525" firstSheet="1" activeTab="1" xr2:uid="{FDFC196F-7842-4F53-B06C-BD6F3ED2FFCF}"/>
  </bookViews>
  <sheets>
    <sheet name="Sheet1" sheetId="6" state="veryHidden" r:id="rId1"/>
    <sheet name="Pipe Rack - Calculation" sheetId="4" r:id="rId2"/>
    <sheet name="Pipe Rack Load - Structural" sheetId="8" r:id="rId3"/>
    <sheet name="Settings" sheetId="11" state="veryHidden" r:id="rId4"/>
    <sheet name="Pipe Database" sheetId="1" state="veryHidden" r:id="rId5"/>
    <sheet name="Expansion" sheetId="2" state="veryHidden" r:id="rId6"/>
    <sheet name="Modulus" sheetId="3" state="veryHidden" r:id="rId7"/>
  </sheets>
  <functionGroups builtInGroupCount="19"/>
  <definedNames>
    <definedName name="_xlnm.Print_Area" localSheetId="5">Expansion!$A$1:$X$82</definedName>
    <definedName name="_xlnm.Print_Area" localSheetId="6">Modulus!$A$1:$W$39</definedName>
    <definedName name="_xlnm.Print_Area" localSheetId="4">'Pipe Database'!$A$1:$T$47</definedName>
    <definedName name="_xlnm.Print_Area" localSheetId="1">'Pipe Rack - Calculation'!$A:$AQ</definedName>
    <definedName name="_xlnm.Print_Area" localSheetId="2">'Pipe Rack Load - Structural'!$A:$T</definedName>
    <definedName name="_xlnm.Print_Titles" localSheetId="2">'Pipe Rack Load - Structural'!$1:$8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8" l="1"/>
  <c r="P3" i="8"/>
  <c r="P2" i="8"/>
  <c r="W8" i="8"/>
  <c r="P1" i="11" l="1"/>
  <c r="C1" i="11"/>
  <c r="E4" i="8" l="1"/>
  <c r="E3" i="8"/>
  <c r="E2" i="8"/>
  <c r="AW3" i="4" l="1"/>
  <c r="AX3" i="4" s="1"/>
  <c r="AY3" i="4" s="1"/>
  <c r="AZ3" i="4" s="1"/>
  <c r="BA3" i="4" s="1"/>
  <c r="BB3" i="4" s="1"/>
  <c r="BC3" i="4" s="1"/>
  <c r="BD3" i="4" s="1"/>
  <c r="BE3" i="4" s="1"/>
  <c r="BF3" i="4" s="1"/>
  <c r="BG3" i="4" s="1"/>
  <c r="BH3" i="4" s="1"/>
  <c r="BI3" i="4" s="1"/>
  <c r="BJ3" i="4" s="1"/>
  <c r="BK3" i="4" s="1"/>
  <c r="BL3" i="4" s="1"/>
  <c r="BM3" i="4" s="1"/>
  <c r="BN3" i="4" s="1"/>
  <c r="BO3" i="4" s="1"/>
  <c r="BP3" i="4" s="1"/>
  <c r="BQ3" i="4" s="1"/>
  <c r="BR3" i="4" s="1"/>
  <c r="BS3" i="4" s="1"/>
  <c r="BT3" i="4" s="1"/>
  <c r="BU3" i="4" s="1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AU8" i="4"/>
  <c r="Y25" i="3" l="1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M38" i="1"/>
  <c r="I38" i="1"/>
  <c r="M37" i="1"/>
  <c r="I37" i="1"/>
  <c r="M36" i="1"/>
  <c r="I36" i="1"/>
  <c r="M35" i="1"/>
  <c r="I35" i="1"/>
  <c r="M34" i="1"/>
  <c r="I34" i="1"/>
  <c r="M33" i="1"/>
  <c r="I33" i="1"/>
  <c r="M32" i="1"/>
  <c r="K32" i="1"/>
  <c r="I32" i="1"/>
  <c r="M31" i="1"/>
  <c r="I31" i="1"/>
  <c r="M30" i="1"/>
  <c r="I30" i="1"/>
  <c r="M29" i="1"/>
  <c r="I29" i="1"/>
  <c r="M28" i="1"/>
  <c r="I28" i="1"/>
  <c r="M27" i="1"/>
  <c r="I27" i="1"/>
  <c r="N26" i="1"/>
  <c r="M26" i="1"/>
  <c r="J26" i="1"/>
  <c r="I26" i="1"/>
  <c r="M25" i="1"/>
  <c r="I25" i="1"/>
  <c r="N24" i="1"/>
  <c r="M24" i="1"/>
  <c r="J24" i="1"/>
  <c r="I24" i="1"/>
  <c r="N23" i="1"/>
  <c r="M23" i="1"/>
  <c r="J23" i="1"/>
  <c r="I23" i="1"/>
  <c r="N22" i="1"/>
  <c r="M22" i="1"/>
  <c r="J22" i="1"/>
  <c r="I22" i="1"/>
  <c r="N21" i="1"/>
  <c r="M21" i="1"/>
  <c r="J21" i="1"/>
  <c r="I21" i="1"/>
  <c r="N20" i="1"/>
  <c r="M20" i="1"/>
  <c r="J20" i="1"/>
  <c r="I20" i="1"/>
  <c r="N19" i="1"/>
  <c r="M19" i="1"/>
  <c r="O18" i="1"/>
  <c r="N18" i="1"/>
  <c r="M18" i="1"/>
</calcChain>
</file>

<file path=xl/sharedStrings.xml><?xml version="1.0" encoding="utf-8"?>
<sst xmlns="http://schemas.openxmlformats.org/spreadsheetml/2006/main" count="1036" uniqueCount="338">
  <si>
    <t>SCHEDULE NO</t>
  </si>
  <si>
    <t>NPS</t>
  </si>
  <si>
    <t>OD</t>
  </si>
  <si>
    <t>5S</t>
  </si>
  <si>
    <t>10S</t>
  </si>
  <si>
    <t>STD</t>
  </si>
  <si>
    <t>40S</t>
  </si>
  <si>
    <t>XS</t>
  </si>
  <si>
    <t>80S</t>
  </si>
  <si>
    <t>XXS</t>
  </si>
  <si>
    <t>⅛"</t>
  </si>
  <si>
    <t>5</t>
  </si>
  <si>
    <t>1D</t>
  </si>
  <si>
    <t>¼"</t>
  </si>
  <si>
    <t>1.5D</t>
  </si>
  <si>
    <t>⅜"</t>
  </si>
  <si>
    <t>10</t>
  </si>
  <si>
    <t>3D</t>
  </si>
  <si>
    <t>½"</t>
  </si>
  <si>
    <t>5D</t>
  </si>
  <si>
    <t>¾"</t>
  </si>
  <si>
    <t>20</t>
  </si>
  <si>
    <t>1"</t>
  </si>
  <si>
    <t>30</t>
  </si>
  <si>
    <t>1¼"</t>
  </si>
  <si>
    <t>1½"</t>
  </si>
  <si>
    <t>2"</t>
  </si>
  <si>
    <t>40</t>
  </si>
  <si>
    <t>2½"</t>
  </si>
  <si>
    <t>60</t>
  </si>
  <si>
    <t>3"</t>
  </si>
  <si>
    <t>3½"</t>
  </si>
  <si>
    <t>4"</t>
  </si>
  <si>
    <t>80</t>
  </si>
  <si>
    <t>5"</t>
  </si>
  <si>
    <t>100</t>
  </si>
  <si>
    <t>6"</t>
  </si>
  <si>
    <t>120</t>
  </si>
  <si>
    <t>8"</t>
  </si>
  <si>
    <t>140</t>
  </si>
  <si>
    <t>10"</t>
  </si>
  <si>
    <t>160</t>
  </si>
  <si>
    <t>12"</t>
  </si>
  <si>
    <t>14"</t>
  </si>
  <si>
    <t>16"</t>
  </si>
  <si>
    <t>18"</t>
  </si>
  <si>
    <t>20"</t>
  </si>
  <si>
    <t>22"</t>
  </si>
  <si>
    <t>24"</t>
  </si>
  <si>
    <t>26"</t>
  </si>
  <si>
    <t>28"</t>
  </si>
  <si>
    <t>30"</t>
  </si>
  <si>
    <t>32"</t>
  </si>
  <si>
    <t>34"</t>
  </si>
  <si>
    <t>36"</t>
  </si>
  <si>
    <t>38"</t>
  </si>
  <si>
    <t>40"</t>
  </si>
  <si>
    <t>42"</t>
  </si>
  <si>
    <t>44"</t>
  </si>
  <si>
    <t>46"</t>
  </si>
  <si>
    <t>48"</t>
  </si>
  <si>
    <t>52"</t>
  </si>
  <si>
    <t>56"</t>
  </si>
  <si>
    <t>60"</t>
  </si>
  <si>
    <t>64"</t>
  </si>
  <si>
    <t>66"</t>
  </si>
  <si>
    <t>68"</t>
  </si>
  <si>
    <t>72"</t>
  </si>
  <si>
    <t>76"</t>
  </si>
  <si>
    <t>80"</t>
  </si>
  <si>
    <t>ASME B31.3-2010</t>
  </si>
  <si>
    <t>Table C-1 Total Thermal Expansion, U.S. Units, for Metals</t>
  </si>
  <si>
    <t>Total Linear Thermal Expansion Between 70°F and Indicated Temperature, in./100 ft</t>
  </si>
  <si>
    <t>Temp.,°C</t>
  </si>
  <si>
    <t>Temp.,°F</t>
  </si>
  <si>
    <t xml:space="preserve">Carbon Steel </t>
  </si>
  <si>
    <t>5Cr-Mo
Through
9Cr-Mo</t>
  </si>
  <si>
    <t>Austenitic Stainless Steels
18Cr-8Ni</t>
  </si>
  <si>
    <t>12Cr,17Cr,27Cr</t>
  </si>
  <si>
    <t>25Cr-20Ni</t>
  </si>
  <si>
    <t>67Ni-30Cu</t>
  </si>
  <si>
    <t>3 1/2Ni</t>
  </si>
  <si>
    <t>Copper and Copper Alloys</t>
  </si>
  <si>
    <t>Titanium Gr. 1,2,3,7,11,12,16,17</t>
  </si>
  <si>
    <t xml:space="preserve">Titanium
Gr. 9
</t>
  </si>
  <si>
    <t xml:space="preserve">UNS
N10675
</t>
  </si>
  <si>
    <t>Aluminium</t>
  </si>
  <si>
    <t xml:space="preserve">Gray
Cast Iron
</t>
  </si>
  <si>
    <t>Bronze</t>
  </si>
  <si>
    <t>Brass</t>
  </si>
  <si>
    <t>70Cu-30Ni</t>
  </si>
  <si>
    <t>UNS N08000 Series Ni-Fe-Cr</t>
  </si>
  <si>
    <t>UNS N06000 Series Ni-Cr-Fe</t>
  </si>
  <si>
    <t>UNS N06035 Series Ni-Cr-Mo</t>
  </si>
  <si>
    <t xml:space="preserve">UNS
N06200
Ni-Cr-Mo
</t>
  </si>
  <si>
    <t>Ductile Iron</t>
  </si>
  <si>
    <t>Invar 36Ni</t>
  </si>
  <si>
    <t>Material</t>
  </si>
  <si>
    <t>Density</t>
  </si>
  <si>
    <t>-</t>
  </si>
  <si>
    <t>5Cr-Mo Through 9Cr-Mo</t>
  </si>
  <si>
    <t>Austenitic Stainless Steels 18Cr-8Ni</t>
  </si>
  <si>
    <t>N04400/monel</t>
  </si>
  <si>
    <t>c71500</t>
  </si>
  <si>
    <t>UNS N08((( Series Ni-Fe-Cr</t>
  </si>
  <si>
    <t>UNS N06((( Series Ni-Cr-Fe</t>
  </si>
  <si>
    <t>36  % Ni 64% Fe</t>
  </si>
  <si>
    <t>.</t>
  </si>
  <si>
    <t>Table C-6   Modulus of Elasticity, U.S. Units, for Metals</t>
  </si>
  <si>
    <t>E = Modulus of Elasticity, Msi (Millions of psi), at Temperature, °F</t>
  </si>
  <si>
    <t xml:space="preserve">Expansion </t>
  </si>
  <si>
    <t>F</t>
  </si>
  <si>
    <t>C</t>
  </si>
  <si>
    <t>Ferrous Metals_Gray cast iron</t>
  </si>
  <si>
    <t>Carbon steels, C &lt; 0.3%</t>
  </si>
  <si>
    <t>Carbon steels, C &gt; 0.3%</t>
  </si>
  <si>
    <t>Carbon-moly steels</t>
  </si>
  <si>
    <t>Nickel steels, Ni 2%-9%</t>
  </si>
  <si>
    <t>Cr-Mo steels, Cr ½%-2%</t>
  </si>
  <si>
    <t>Cr-Mo steels, 
Cr 2½%-3%</t>
  </si>
  <si>
    <t>Cr-Mo steels, Cr 5%-9%</t>
  </si>
  <si>
    <t>Chromium steels, 
Cr 12%, 17%, 27%</t>
  </si>
  <si>
    <t>Austenitic steels (TP304, 310, 316, 321, 347)</t>
  </si>
  <si>
    <t>Copper and Copper Alloys (UNS Nos.)
Comp. and leaded Sn-bronze (C83600, C92200)</t>
  </si>
  <si>
    <t>Naval brass, Si- &amp; Al-bronze (C46400, C65500,C95200, C95400)</t>
  </si>
  <si>
    <t>Copper (C11000)</t>
  </si>
  <si>
    <t>Copper, red brass, Al-bronze (C10200, C12000,C12200, C12500, C14200, C23000, C61400)</t>
  </si>
  <si>
    <t>90Cu-10Ni (C70600)</t>
  </si>
  <si>
    <t>Leaded Ni-bronze</t>
  </si>
  <si>
    <t>80Cu-20Ni (C71000)</t>
  </si>
  <si>
    <t>70Cu-30Ni (C71500)</t>
  </si>
  <si>
    <t>Nickel and Nickel Alloys (UNS Nos.)
Alloy 400 N04400</t>
  </si>
  <si>
    <t>Allay N06035</t>
  </si>
  <si>
    <t>Alloys N06007, N08320</t>
  </si>
  <si>
    <t>Alloys N08800, N08810, N06002</t>
  </si>
  <si>
    <t>Alloys N06455, N10276</t>
  </si>
  <si>
    <t>Alloys NO2200, NO2201, N06625</t>
  </si>
  <si>
    <t>Alloy N06600</t>
  </si>
  <si>
    <t>Alloy N10001</t>
  </si>
  <si>
    <t>Alloy N10665</t>
  </si>
  <si>
    <t>Alloy N10675</t>
  </si>
  <si>
    <t>Unalloyed Titanium
Grades 1, 2, 3, and 7</t>
  </si>
  <si>
    <t>Zirconium Alloys_R60702</t>
  </si>
  <si>
    <t>R60705</t>
  </si>
  <si>
    <t>Aluminum and Aluminum Alloys (UNS Nos.)
Grades 443, 1060, 1100, 3003, 3004, 6061,6063 (A24430, A91060, A91100, A93003,A93004, A96061, A96063)</t>
  </si>
  <si>
    <t>Grades 5052, 5154, 5454, 5652 (A95052,A95154, A95454, A95652)</t>
  </si>
  <si>
    <t>Grades 356, 5083, 5086, 5456 (A03560,A95083, A95086, A95456)</t>
  </si>
  <si>
    <t>x)</t>
  </si>
  <si>
    <t>Fixed</t>
  </si>
  <si>
    <t>Natural Frequency Factor, C</t>
  </si>
  <si>
    <t>Simple</t>
  </si>
  <si>
    <t>lb/ft²</t>
  </si>
  <si>
    <t>Wind Force</t>
  </si>
  <si>
    <t>Design Factor</t>
  </si>
  <si>
    <t>Free</t>
  </si>
  <si>
    <t>Friction Factor</t>
  </si>
  <si>
    <t>Mode 3</t>
  </si>
  <si>
    <t>Mode 2</t>
  </si>
  <si>
    <t>Mode 1</t>
  </si>
  <si>
    <t>End 2 Condition</t>
  </si>
  <si>
    <t>End 1 Condition</t>
  </si>
  <si>
    <t>°F</t>
  </si>
  <si>
    <t>Ambient Temperature</t>
  </si>
  <si>
    <t>lb/ft³</t>
  </si>
  <si>
    <t xml:space="preserve">Insulation Density </t>
  </si>
  <si>
    <t>Table 2</t>
  </si>
  <si>
    <t>Table 1</t>
  </si>
  <si>
    <t>ix)</t>
  </si>
  <si>
    <t>iix)</t>
  </si>
  <si>
    <t>vii)</t>
  </si>
  <si>
    <t>vi)</t>
  </si>
  <si>
    <t>v)</t>
  </si>
  <si>
    <t>iv)</t>
  </si>
  <si>
    <t>iii)</t>
  </si>
  <si>
    <t>ii)</t>
  </si>
  <si>
    <t>i)</t>
  </si>
  <si>
    <t>Notes:</t>
  </si>
  <si>
    <t xml:space="preserve">Virtual </t>
  </si>
  <si>
    <t>in³</t>
  </si>
  <si>
    <t>ft³</t>
  </si>
  <si>
    <t>ft</t>
  </si>
  <si>
    <t>in</t>
  </si>
  <si>
    <t>Stress
(psi)</t>
  </si>
  <si>
    <t>Force
(lbf)</t>
  </si>
  <si>
    <t>Displ't
(in)</t>
  </si>
  <si>
    <t>Depth (ft)</t>
  </si>
  <si>
    <t>Width (ft)</t>
  </si>
  <si>
    <t>(in)</t>
  </si>
  <si>
    <t>SCH</t>
  </si>
  <si>
    <t>OD
(in)</t>
  </si>
  <si>
    <t xml:space="preserve">NPS </t>
  </si>
  <si>
    <t>Higher Mod
C Mod
psi</t>
  </si>
  <si>
    <t>Lower Mod
C Mod
psi</t>
  </si>
  <si>
    <t>Higher Temp
C Mod
°F</t>
  </si>
  <si>
    <t>Lower Temp
C Mod
°F</t>
  </si>
  <si>
    <t>Temp (row)
C Mod</t>
  </si>
  <si>
    <t>Higher Mod
H Mod
psi</t>
  </si>
  <si>
    <t>Lower Mod
H Mod
psi</t>
  </si>
  <si>
    <t>Higher Temp
H Mod
°F</t>
  </si>
  <si>
    <t>Lower Temp
H Mod
°F</t>
  </si>
  <si>
    <t>Temp (row)
H Mod</t>
  </si>
  <si>
    <t>Higher Exp
in/100ft</t>
  </si>
  <si>
    <t>Lower Exp
in/100ft</t>
  </si>
  <si>
    <t>Higher Temp
°F</t>
  </si>
  <si>
    <t>Lower Temp
°F</t>
  </si>
  <si>
    <t>Temp (row)
Exp.</t>
  </si>
  <si>
    <t>Mat Col
in
Exp Sht</t>
  </si>
  <si>
    <t>Mat Col
in
Mod Sht</t>
  </si>
  <si>
    <t>Thk
Col</t>
  </si>
  <si>
    <t>Pipe Dia
Row</t>
  </si>
  <si>
    <t>Ix</t>
  </si>
  <si>
    <t>CC</t>
  </si>
  <si>
    <t>BB</t>
  </si>
  <si>
    <t>AA</t>
  </si>
  <si>
    <r>
      <t>Y</t>
    </r>
    <r>
      <rPr>
        <b/>
        <vertAlign val="superscript"/>
        <sz val="8"/>
        <rFont val="Calibri"/>
        <family val="2"/>
        <scheme val="minor"/>
      </rPr>
      <t>2</t>
    </r>
    <r>
      <rPr>
        <b/>
        <sz val="8"/>
        <rFont val="Calibri"/>
        <family val="2"/>
        <scheme val="minor"/>
      </rPr>
      <t>L</t>
    </r>
  </si>
  <si>
    <t>Y</t>
  </si>
  <si>
    <t>L</t>
  </si>
  <si>
    <t>D</t>
  </si>
  <si>
    <t>SIF(i)</t>
  </si>
  <si>
    <t>K</t>
  </si>
  <si>
    <t>h</t>
  </si>
  <si>
    <t>Bend Radius
(in)</t>
  </si>
  <si>
    <t>Leg Required
(ft)</t>
  </si>
  <si>
    <r>
      <t>Section Modulus
(in</t>
    </r>
    <r>
      <rPr>
        <b/>
        <sz val="8"/>
        <color theme="1"/>
        <rFont val="Calibri"/>
        <family val="2"/>
      </rPr>
      <t>³)</t>
    </r>
  </si>
  <si>
    <r>
      <t>Moment of Inertia
(in</t>
    </r>
    <r>
      <rPr>
        <b/>
        <sz val="8"/>
        <color theme="1"/>
        <rFont val="Arial"/>
        <family val="2"/>
      </rPr>
      <t>⁴</t>
    </r>
    <r>
      <rPr>
        <b/>
        <sz val="8"/>
        <color theme="1"/>
        <rFont val="Calibri"/>
        <family val="2"/>
        <scheme val="minor"/>
      </rPr>
      <t>)</t>
    </r>
  </si>
  <si>
    <t>Hot Elastic Modulus
(psi)
x10³</t>
  </si>
  <si>
    <t>Cold Elastic Modulus
(psi)
x10³</t>
  </si>
  <si>
    <t>Span Frequency
(Hz)</t>
  </si>
  <si>
    <t>Loop Calculation</t>
  </si>
  <si>
    <t>Guide Distance
(ft)</t>
  </si>
  <si>
    <t>Loop Size</t>
  </si>
  <si>
    <t>Expansion Rate (in/100ft)</t>
  </si>
  <si>
    <t>Friction Load at Anchor
(lbf)</t>
  </si>
  <si>
    <t>Wind Load at Bents
(lbf)</t>
  </si>
  <si>
    <t>Friction Load at Bents
(lbf)</t>
  </si>
  <si>
    <t xml:space="preserve"> Hydro Weight at Bents
(lb)</t>
  </si>
  <si>
    <t>Operating Weight at Bents
(lb)</t>
  </si>
  <si>
    <t>Dead Weight at Bents
(lb)</t>
  </si>
  <si>
    <t>No of Bents</t>
  </si>
  <si>
    <t>TOS Elevation
(ft)</t>
  </si>
  <si>
    <t>End Anchor Coordinate
(ft)</t>
  </si>
  <si>
    <t>Main Bent Spacing
(ft)</t>
  </si>
  <si>
    <t>Start Anchor Coordinate
(ft)</t>
  </si>
  <si>
    <t>Hydro Weight
(lb/ft)</t>
  </si>
  <si>
    <t>Insul'n Weight
(lb/ft)</t>
  </si>
  <si>
    <t>Content Weight (lb/ft)</t>
  </si>
  <si>
    <t>Pipe Weight (lb/ft)</t>
  </si>
  <si>
    <t>Pipe Density
(lb/ft³)</t>
  </si>
  <si>
    <t>Bend Factor</t>
  </si>
  <si>
    <t>Design Temp.
(°F)</t>
  </si>
  <si>
    <t>Insulation
Thickness
(in)</t>
  </si>
  <si>
    <t>Specific Gravity of Fluid
(-)</t>
  </si>
  <si>
    <t>Pipe Thickness</t>
  </si>
  <si>
    <t>Pipe Diameter</t>
  </si>
  <si>
    <t>Allow Stress
(psi)</t>
  </si>
  <si>
    <t>Line No</t>
  </si>
  <si>
    <t>DATE</t>
  </si>
  <si>
    <t>DOCUMENT NUMBER</t>
  </si>
  <si>
    <t>BY</t>
  </si>
  <si>
    <t>WAHA Oil Company</t>
  </si>
  <si>
    <t>CLIENT</t>
  </si>
  <si>
    <t>REVISION</t>
  </si>
  <si>
    <t>PROJECT TITLE</t>
  </si>
  <si>
    <t>Pipe Rack Load Calculation</t>
  </si>
  <si>
    <t>Pipe Rack Loadings</t>
  </si>
  <si>
    <t>Bent Coordinate
(ft)</t>
  </si>
  <si>
    <t>Empty Dead Load
(lb)</t>
  </si>
  <si>
    <t>Operating Dead Load
(lb)</t>
  </si>
  <si>
    <t>Test Dead Load
(lb)</t>
  </si>
  <si>
    <t>Wind Load
(lbf)</t>
  </si>
  <si>
    <t>Anchor Loads
(lbf)</t>
  </si>
  <si>
    <t>Friction Loads
(lbf)</t>
  </si>
  <si>
    <t>Comments</t>
  </si>
  <si>
    <t>De</t>
  </si>
  <si>
    <t>Do</t>
  </si>
  <si>
    <t>Dt</t>
  </si>
  <si>
    <t>W</t>
  </si>
  <si>
    <t>Af</t>
  </si>
  <si>
    <t>Ff</t>
  </si>
  <si>
    <r>
      <t>Select the '</t>
    </r>
    <r>
      <rPr>
        <b/>
        <sz val="8"/>
        <color theme="1"/>
        <rFont val="Arial"/>
        <family val="2"/>
      </rPr>
      <t>Line No</t>
    </r>
    <r>
      <rPr>
        <sz val="8"/>
        <color theme="1"/>
        <rFont val="Arial"/>
        <family val="2"/>
      </rPr>
      <t>' cell on the row you wish to enter or modify the data.  Select CTRL + SHFT + L together and the row will be populated with the appropriate formulae.  Note: this will convert the formulae in other rows to values.</t>
    </r>
  </si>
  <si>
    <t>Enter the information in the</t>
  </si>
  <si>
    <t>yellow</t>
  </si>
  <si>
    <r>
      <t>If '</t>
    </r>
    <r>
      <rPr>
        <b/>
        <sz val="8"/>
        <color theme="1"/>
        <rFont val="Arial"/>
        <family val="2"/>
      </rPr>
      <t>Width</t>
    </r>
    <r>
      <rPr>
        <sz val="8"/>
        <color theme="1"/>
        <rFont val="Arial"/>
        <family val="2"/>
      </rPr>
      <t xml:space="preserve">' is left blank, the calculation approximates to an 'L' shape guided cantilever.  </t>
    </r>
  </si>
  <si>
    <r>
      <t>'</t>
    </r>
    <r>
      <rPr>
        <b/>
        <sz val="8"/>
        <color theme="1"/>
        <rFont val="Arial"/>
        <family val="2"/>
      </rPr>
      <t>Guide Distance</t>
    </r>
    <r>
      <rPr>
        <sz val="8"/>
        <color theme="1"/>
        <rFont val="Arial"/>
        <family val="2"/>
      </rPr>
      <t>' is between first guide either side of loop.  Loop Analysis is based on Elastic centre method.</t>
    </r>
  </si>
  <si>
    <r>
      <t>'</t>
    </r>
    <r>
      <rPr>
        <b/>
        <sz val="8"/>
        <color theme="1"/>
        <rFont val="Arial"/>
        <family val="2"/>
      </rPr>
      <t>Displ't</t>
    </r>
    <r>
      <rPr>
        <sz val="8"/>
        <color theme="1"/>
        <rFont val="Arial"/>
        <family val="2"/>
      </rPr>
      <t xml:space="preserve">' for looped lines is based on </t>
    </r>
    <r>
      <rPr>
        <sz val="8"/>
        <color theme="1"/>
        <rFont val="Calibri"/>
        <family val="2"/>
      </rPr>
      <t>⅔</t>
    </r>
    <r>
      <rPr>
        <sz val="8"/>
        <color theme="1"/>
        <rFont val="Arial"/>
        <family val="2"/>
      </rPr>
      <t xml:space="preserve"> distance between anchors.  '</t>
    </r>
    <r>
      <rPr>
        <b/>
        <sz val="8"/>
        <color theme="1"/>
        <rFont val="Arial"/>
        <family val="2"/>
      </rPr>
      <t>Frictional Load at Anchor</t>
    </r>
    <r>
      <rPr>
        <sz val="8"/>
        <color theme="1"/>
        <rFont val="Arial"/>
        <family val="2"/>
      </rPr>
      <t>' for looped lines calculated based on ½ distance between anchors.  '</t>
    </r>
    <r>
      <rPr>
        <b/>
        <sz val="8"/>
        <color theme="1"/>
        <rFont val="Arial"/>
        <family val="2"/>
      </rPr>
      <t>Displ't</t>
    </r>
    <r>
      <rPr>
        <sz val="8"/>
        <color theme="1"/>
        <rFont val="Arial"/>
        <family val="2"/>
      </rPr>
      <t>' and '</t>
    </r>
    <r>
      <rPr>
        <b/>
        <sz val="8"/>
        <color theme="1"/>
        <rFont val="Arial"/>
        <family val="2"/>
      </rPr>
      <t>Frictional Load at Anchor</t>
    </r>
    <r>
      <rPr>
        <sz val="8"/>
        <color theme="1"/>
        <rFont val="Arial"/>
        <family val="2"/>
      </rPr>
      <t>' for other lines based on distance between anchors.</t>
    </r>
  </si>
  <si>
    <r>
      <t>'</t>
    </r>
    <r>
      <rPr>
        <b/>
        <sz val="8"/>
        <color theme="1"/>
        <rFont val="Arial"/>
        <family val="2"/>
      </rPr>
      <t>Insul'n Weight</t>
    </r>
    <r>
      <rPr>
        <sz val="8"/>
        <color theme="1"/>
        <rFont val="Arial"/>
        <family val="2"/>
      </rPr>
      <t>' is excluded for '</t>
    </r>
    <r>
      <rPr>
        <b/>
        <sz val="8"/>
        <color theme="1"/>
        <rFont val="Arial"/>
        <family val="2"/>
      </rPr>
      <t>Hydro Weight</t>
    </r>
    <r>
      <rPr>
        <sz val="8"/>
        <color theme="1"/>
        <rFont val="Arial"/>
        <family val="2"/>
      </rPr>
      <t xml:space="preserve">' load calculation. </t>
    </r>
  </si>
  <si>
    <r>
      <t>'</t>
    </r>
    <r>
      <rPr>
        <b/>
        <sz val="8"/>
        <color theme="1"/>
        <rFont val="Arial"/>
        <family val="2"/>
      </rPr>
      <t>Span Frequency</t>
    </r>
    <r>
      <rPr>
        <sz val="8"/>
        <color theme="1"/>
        <rFont val="Arial"/>
        <family val="2"/>
      </rPr>
      <t>' based on lower of vortex induced vibration due to wind force or natural mechanical frequency of span using natural frequency factor.</t>
    </r>
  </si>
  <si>
    <r>
      <t xml:space="preserve">Enter </t>
    </r>
    <r>
      <rPr>
        <b/>
        <sz val="8"/>
        <color theme="1"/>
        <rFont val="Arial"/>
        <family val="2"/>
      </rPr>
      <t>Ambient Temperature</t>
    </r>
    <r>
      <rPr>
        <sz val="8"/>
        <color theme="1"/>
        <rFont val="Arial"/>
        <family val="2"/>
      </rPr>
      <t xml:space="preserve"> in °F.  If '</t>
    </r>
    <r>
      <rPr>
        <b/>
        <sz val="8"/>
        <color theme="1"/>
        <rFont val="Arial"/>
        <family val="2"/>
      </rPr>
      <t>Ambient Temperature</t>
    </r>
    <r>
      <rPr>
        <sz val="8"/>
        <color theme="1"/>
        <rFont val="Arial"/>
        <family val="2"/>
      </rPr>
      <t>' is left blank then cold modulus is based on temperature of 70°F.</t>
    </r>
  </si>
  <si>
    <r>
      <t xml:space="preserve">This sheet is not intended to be issued to Structural / Civil.  For loads to be transmitted to Structural / Civil complete adjoining worksheet </t>
    </r>
    <r>
      <rPr>
        <b/>
        <sz val="8"/>
        <color theme="1"/>
        <rFont val="Arial"/>
        <family val="2"/>
      </rPr>
      <t>Pipe Rack Load - Structural</t>
    </r>
    <r>
      <rPr>
        <sz val="8"/>
        <color theme="1"/>
        <rFont val="Arial"/>
        <family val="2"/>
      </rPr>
      <t>.</t>
    </r>
  </si>
  <si>
    <r>
      <t>Values input into Table 1 below are applied to all calculations.  Changes will require all rows to be recalculated using the CTRL + SHFT + L on each row, see Note i).  Values of '</t>
    </r>
    <r>
      <rPr>
        <b/>
        <sz val="8"/>
        <color theme="1"/>
        <rFont val="Arial"/>
        <family val="2"/>
      </rPr>
      <t>Natural Frequency Factor, C</t>
    </r>
    <r>
      <rPr>
        <sz val="8"/>
        <color theme="1"/>
        <rFont val="Arial"/>
        <family val="2"/>
      </rPr>
      <t>' are given in Table 2</t>
    </r>
  </si>
  <si>
    <r>
      <t xml:space="preserve"> cells.  The cells for '</t>
    </r>
    <r>
      <rPr>
        <b/>
        <sz val="8"/>
        <color theme="1"/>
        <rFont val="Arial"/>
        <family val="2"/>
      </rPr>
      <t>Material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NPS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SCH</t>
    </r>
    <r>
      <rPr>
        <sz val="8"/>
        <color theme="1"/>
        <rFont val="Arial"/>
        <family val="2"/>
      </rPr>
      <t>' and '</t>
    </r>
    <r>
      <rPr>
        <b/>
        <sz val="8"/>
        <color theme="1"/>
        <rFont val="Arial"/>
        <family val="2"/>
      </rPr>
      <t>Bend Factor</t>
    </r>
    <r>
      <rPr>
        <sz val="8"/>
        <color theme="1"/>
        <rFont val="Arial"/>
        <family val="2"/>
      </rPr>
      <t>' are drop down boxes for the user to select the required value.  Values in '</t>
    </r>
    <r>
      <rPr>
        <b/>
        <sz val="8"/>
        <color theme="1"/>
        <rFont val="Arial"/>
        <family val="2"/>
      </rPr>
      <t>Start Anchor Coordinate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Main Bent Spacing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End Anchor Coordinate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TOS Elevation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Width</t>
    </r>
    <r>
      <rPr>
        <sz val="8"/>
        <color theme="1"/>
        <rFont val="Arial"/>
        <family val="2"/>
      </rPr>
      <t>', '</t>
    </r>
    <r>
      <rPr>
        <b/>
        <sz val="8"/>
        <color theme="1"/>
        <rFont val="Arial"/>
        <family val="2"/>
      </rPr>
      <t>Depth</t>
    </r>
    <r>
      <rPr>
        <sz val="8"/>
        <color theme="1"/>
        <rFont val="Arial"/>
        <family val="2"/>
      </rPr>
      <t>' and '</t>
    </r>
    <r>
      <rPr>
        <b/>
        <sz val="8"/>
        <color theme="1"/>
        <rFont val="Arial"/>
        <family val="2"/>
      </rPr>
      <t>Guide Distance</t>
    </r>
    <r>
      <rPr>
        <sz val="8"/>
        <color theme="1"/>
        <rFont val="Arial"/>
        <family val="2"/>
      </rPr>
      <t>' can be input in various formats, refer to Job Notes.</t>
    </r>
  </si>
  <si>
    <t>Additional Notes</t>
  </si>
  <si>
    <t>Settings</t>
  </si>
  <si>
    <t>Computer Name</t>
  </si>
  <si>
    <t>System User Name</t>
  </si>
  <si>
    <t>Option 1</t>
  </si>
  <si>
    <t>Option 2</t>
  </si>
  <si>
    <t>Option 3</t>
  </si>
  <si>
    <t>Revisions</t>
  </si>
  <si>
    <t>Date</t>
  </si>
  <si>
    <t>Description</t>
  </si>
  <si>
    <t>Not known</t>
  </si>
  <si>
    <t>1.0.0</t>
  </si>
  <si>
    <t>1.1.0</t>
  </si>
  <si>
    <t>Settings worksheet and associated macros added</t>
  </si>
  <si>
    <t>Revision records added.  'About' and 'Revision' VB Forms added.</t>
  </si>
  <si>
    <t>0.0.1</t>
  </si>
  <si>
    <t>0.0.5</t>
  </si>
  <si>
    <t>By</t>
  </si>
  <si>
    <t>CNW</t>
  </si>
  <si>
    <t>SA</t>
  </si>
  <si>
    <t>NC98 A/F Field Development Project FEED</t>
  </si>
  <si>
    <t>Original spreadsheet</t>
  </si>
  <si>
    <t>Converted for use by Petrofac</t>
  </si>
  <si>
    <t>Rewritten for use with Petrofac title blocks</t>
  </si>
  <si>
    <t>Converted to WOK-BMS-EN-VSS-X-7178_Rev A.  No record of revision!  No record of whether issued into eBMS system.</t>
  </si>
  <si>
    <t>WOK-BMS-EN-VSS-X-7178_Rev B.  Password protected.  No record of password found.  Not issued.</t>
  </si>
  <si>
    <t>Rewritten for WOC projects.</t>
  </si>
  <si>
    <t>COUNTIF(B:B,"&lt;&gt;")+2</t>
  </si>
  <si>
    <t>COUNTIF(K:K,"&lt;&gt;")</t>
  </si>
  <si>
    <t>NO DATA</t>
  </si>
  <si>
    <t>ERROR</t>
  </si>
  <si>
    <t>Row manipulation routines added.</t>
  </si>
  <si>
    <t>2.0.0</t>
  </si>
  <si>
    <t>1.2.0</t>
  </si>
  <si>
    <t>1.3.0</t>
  </si>
  <si>
    <t>1.3.1</t>
  </si>
  <si>
    <t>1.3.2</t>
  </si>
  <si>
    <t>1.3.3</t>
  </si>
  <si>
    <t>Issued for use on WOC Projects</t>
  </si>
  <si>
    <t>Clive.Westwood</t>
  </si>
  <si>
    <t>WOK-LT-46R2NQ2</t>
  </si>
  <si>
    <t>5900R-GL-L-CA-0000</t>
  </si>
  <si>
    <t>North Gialo (6J) Post FEED Services Stage 2</t>
  </si>
  <si>
    <t>2.1.0</t>
  </si>
  <si>
    <t>Updated to suit WOC North Gialo 6J.  VBA Project Description &amp; Password changed.</t>
  </si>
  <si>
    <t>Lakshmanan.k</t>
  </si>
  <si>
    <t>CHE-DT-8QRT3W2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</si>
</sst>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Tahoma"/>
      <family val="2"/>
    </font>
    <font>
      <sz val="8"/>
      <name val="Tahoma"/>
      <family val="2"/>
    </font>
    <font>
      <sz val="8"/>
      <color theme="1"/>
      <name val="Tahoma"/>
      <family val="2"/>
    </font>
    <font>
      <sz val="11"/>
      <color theme="1"/>
      <name val="Tahoma"/>
      <family val="2"/>
    </font>
    <font>
      <b/>
      <i/>
      <sz val="8"/>
      <color theme="1"/>
      <name val="Arial"/>
      <family val="2"/>
    </font>
    <font>
      <b/>
      <i/>
      <u/>
      <sz val="8"/>
      <color theme="1"/>
      <name val="Arial"/>
      <family val="2"/>
    </font>
    <font>
      <sz val="8"/>
      <name val="Calibri"/>
      <family val="2"/>
      <scheme val="minor"/>
    </font>
    <font>
      <i/>
      <sz val="8"/>
      <color theme="1"/>
      <name val="Arial"/>
      <family val="2"/>
    </font>
    <font>
      <b/>
      <sz val="8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vertAlign val="superscript"/>
      <sz val="8"/>
      <name val="Calibri"/>
      <family val="2"/>
      <scheme val="minor"/>
    </font>
    <font>
      <b/>
      <sz val="8"/>
      <color theme="1"/>
      <name val="Calibri"/>
      <family val="2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Arial"/>
      <family val="2"/>
    </font>
    <font>
      <sz val="10"/>
      <name val="Calibri"/>
      <family val="2"/>
      <scheme val="minor"/>
    </font>
    <font>
      <b/>
      <u/>
      <sz val="11"/>
      <color theme="1"/>
      <name val="Arial"/>
      <family val="2"/>
    </font>
    <font>
      <i/>
      <sz val="10"/>
      <color theme="1"/>
      <name val="Calibri"/>
      <family val="2"/>
      <scheme val="minor"/>
    </font>
    <font>
      <b/>
      <sz val="12"/>
      <name val="Trebuchet MS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</font>
    <font>
      <sz val="10"/>
      <color theme="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DD9C4"/>
        <bgColor indexed="64"/>
      </patternFill>
    </fill>
  </fills>
  <borders count="10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hair">
        <color theme="8" tint="0.79998168889431442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theme="8" tint="0.79998168889431442"/>
      </top>
      <bottom style="medium">
        <color auto="1"/>
      </bottom>
      <diagonal/>
    </border>
    <border>
      <left/>
      <right style="thin">
        <color indexed="64"/>
      </right>
      <top style="hair">
        <color theme="8" tint="0.79998168889431442"/>
      </top>
      <bottom style="medium">
        <color auto="1"/>
      </bottom>
      <diagonal/>
    </border>
    <border>
      <left style="thin">
        <color auto="1"/>
      </left>
      <right/>
      <top style="hair">
        <color theme="8" tint="0.79998168889431442"/>
      </top>
      <bottom style="medium">
        <color auto="1"/>
      </bottom>
      <diagonal/>
    </border>
    <border>
      <left style="medium">
        <color auto="1"/>
      </left>
      <right/>
      <top style="hair">
        <color theme="8" tint="0.79998168889431442"/>
      </top>
      <bottom style="medium">
        <color auto="1"/>
      </bottom>
      <diagonal/>
    </border>
    <border>
      <left/>
      <right/>
      <top style="hair">
        <color theme="8" tint="0.79998168889431442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theme="8" tint="0.79998168889431442"/>
      </top>
      <bottom style="hair">
        <color theme="8" tint="0.79998168889431442"/>
      </bottom>
      <diagonal/>
    </border>
    <border>
      <left style="thin">
        <color auto="1"/>
      </left>
      <right style="thin">
        <color auto="1"/>
      </right>
      <top style="hair">
        <color theme="8" tint="0.79998168889431442"/>
      </top>
      <bottom style="hair">
        <color theme="8" tint="0.79998168889431442"/>
      </bottom>
      <diagonal/>
    </border>
    <border>
      <left/>
      <right style="thin">
        <color auto="1"/>
      </right>
      <top style="hair">
        <color theme="8" tint="0.79998168889431442"/>
      </top>
      <bottom style="hair">
        <color theme="8" tint="0.79998168889431442"/>
      </bottom>
      <diagonal/>
    </border>
    <border>
      <left style="thin">
        <color auto="1"/>
      </left>
      <right/>
      <top style="hair">
        <color theme="8" tint="0.79998168889431442"/>
      </top>
      <bottom style="hair">
        <color theme="8" tint="0.79998168889431442"/>
      </bottom>
      <diagonal/>
    </border>
    <border>
      <left style="medium">
        <color auto="1"/>
      </left>
      <right/>
      <top style="hair">
        <color theme="8" tint="0.79998168889431442"/>
      </top>
      <bottom style="hair">
        <color theme="8" tint="0.79998168889431442"/>
      </bottom>
      <diagonal/>
    </border>
    <border>
      <left/>
      <right/>
      <top style="hair">
        <color theme="8" tint="0.79998168889431442"/>
      </top>
      <bottom style="hair">
        <color theme="8" tint="0.79998168889431442"/>
      </bottom>
      <diagonal/>
    </border>
    <border>
      <left/>
      <right style="medium">
        <color auto="1"/>
      </right>
      <top style="hair">
        <color theme="8" tint="0.79998168889431442"/>
      </top>
      <bottom style="hair">
        <color theme="8" tint="0.79998168889431442"/>
      </bottom>
      <diagonal/>
    </border>
    <border>
      <left style="thin">
        <color auto="1"/>
      </left>
      <right style="medium">
        <color auto="1"/>
      </right>
      <top/>
      <bottom style="hair">
        <color theme="8" tint="0.79998168889431442"/>
      </bottom>
      <diagonal/>
    </border>
    <border>
      <left style="thin">
        <color auto="1"/>
      </left>
      <right style="thin">
        <color auto="1"/>
      </right>
      <top/>
      <bottom style="hair">
        <color theme="8" tint="0.79998168889431442"/>
      </bottom>
      <diagonal/>
    </border>
    <border>
      <left/>
      <right style="thin">
        <color auto="1"/>
      </right>
      <top style="thin">
        <color auto="1"/>
      </top>
      <bottom style="hair">
        <color theme="8" tint="0.79998168889431442"/>
      </bottom>
      <diagonal/>
    </border>
    <border>
      <left style="thin">
        <color auto="1"/>
      </left>
      <right/>
      <top style="thin">
        <color auto="1"/>
      </top>
      <bottom style="hair">
        <color theme="8" tint="0.79998168889431442"/>
      </bottom>
      <diagonal/>
    </border>
    <border>
      <left style="medium">
        <color auto="1"/>
      </left>
      <right/>
      <top style="thin">
        <color indexed="64"/>
      </top>
      <bottom style="hair">
        <color theme="8" tint="0.7999816888943144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hair">
        <color theme="8" tint="0.7999816888943144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theme="8" tint="0.79998168889431442"/>
      </bottom>
      <diagonal/>
    </border>
    <border>
      <left/>
      <right style="thin">
        <color auto="1"/>
      </right>
      <top style="medium">
        <color auto="1"/>
      </top>
      <bottom style="hair">
        <color theme="8" tint="0.79998168889431442"/>
      </bottom>
      <diagonal/>
    </border>
    <border>
      <left/>
      <right/>
      <top style="medium">
        <color auto="1"/>
      </top>
      <bottom style="hair">
        <color theme="8" tint="0.79998168889431442"/>
      </bottom>
      <diagonal/>
    </border>
    <border>
      <left style="medium">
        <color auto="1"/>
      </left>
      <right/>
      <top style="medium">
        <color auto="1"/>
      </top>
      <bottom style="hair">
        <color theme="8" tint="0.79998168889431442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theme="8" tint="0.79998168889431442"/>
      </top>
      <bottom/>
      <diagonal/>
    </border>
    <border>
      <left style="thin">
        <color auto="1"/>
      </left>
      <right style="thin">
        <color auto="1"/>
      </right>
      <top style="hair">
        <color theme="8" tint="0.79998168889431442"/>
      </top>
      <bottom/>
      <diagonal/>
    </border>
    <border>
      <left style="thin">
        <color auto="1"/>
      </left>
      <right style="thin">
        <color auto="1"/>
      </right>
      <top style="hair">
        <color theme="8" tint="0.79998168889431442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theme="8" tint="0.79998168889431442"/>
      </top>
      <bottom/>
      <diagonal/>
    </border>
    <border>
      <left style="medium">
        <color auto="1"/>
      </left>
      <right style="thin">
        <color auto="1"/>
      </right>
      <top style="hair">
        <color theme="8" tint="0.79998168889431442"/>
      </top>
      <bottom style="hair">
        <color theme="8" tint="0.7999816888943144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theme="8" tint="0.79998168889431442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theme="8" tint="0.79998168889431442"/>
      </bottom>
      <diagonal/>
    </border>
    <border>
      <left style="thin">
        <color auto="1"/>
      </left>
      <right style="medium">
        <color auto="1"/>
      </right>
      <top style="hair">
        <color theme="8" tint="0.7999816888943144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theme="8" tint="0.79998168889431442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theme="8" tint="0.79998168889431442"/>
      </bottom>
      <diagonal/>
    </border>
    <border>
      <left/>
      <right style="medium">
        <color auto="1"/>
      </right>
      <top style="thin">
        <color auto="1"/>
      </top>
      <bottom style="hair">
        <color theme="8" tint="0.79998168889431442"/>
      </bottom>
      <diagonal/>
    </border>
    <border>
      <left style="thin">
        <color auto="1"/>
      </left>
      <right style="hair">
        <color auto="1"/>
      </right>
      <top style="hair">
        <color theme="8" tint="0.79998168889431442"/>
      </top>
      <bottom style="hair">
        <color theme="8" tint="0.79998168889431442"/>
      </bottom>
      <diagonal/>
    </border>
    <border>
      <left style="thin">
        <color auto="1"/>
      </left>
      <right style="hair">
        <color auto="1"/>
      </right>
      <top style="hair">
        <color theme="8" tint="0.79998168889431442"/>
      </top>
      <bottom style="medium">
        <color auto="1"/>
      </bottom>
      <diagonal/>
    </border>
    <border>
      <left/>
      <right style="medium">
        <color auto="1"/>
      </right>
      <top style="hair">
        <color theme="8" tint="0.79998168889431442"/>
      </top>
      <bottom style="medium">
        <color auto="1"/>
      </bottom>
      <diagonal/>
    </border>
    <border>
      <left style="thin">
        <color auto="1"/>
      </left>
      <right/>
      <top style="hair">
        <color theme="8" tint="0.79998168889431442"/>
      </top>
      <bottom style="thin">
        <color auto="1"/>
      </bottom>
      <diagonal/>
    </border>
    <border>
      <left/>
      <right/>
      <top style="hair">
        <color theme="8" tint="0.79998168889431442"/>
      </top>
      <bottom style="thin">
        <color auto="1"/>
      </bottom>
      <diagonal/>
    </border>
    <border>
      <left/>
      <right style="thin">
        <color auto="1"/>
      </right>
      <top style="hair">
        <color theme="8" tint="0.7999816888943144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2" fillId="0" borderId="0"/>
    <xf numFmtId="0" fontId="2" fillId="0" borderId="0"/>
  </cellStyleXfs>
  <cellXfs count="559">
    <xf numFmtId="0" fontId="0" fillId="0" borderId="0" xfId="0"/>
    <xf numFmtId="49" fontId="2" fillId="0" borderId="1" xfId="1" applyNumberFormat="1" applyFont="1" applyBorder="1" applyAlignment="1" applyProtection="1">
      <alignment horizontal="center" vertical="center"/>
      <protection hidden="1"/>
    </xf>
    <xf numFmtId="164" fontId="2" fillId="0" borderId="2" xfId="1" applyNumberFormat="1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49" fontId="4" fillId="0" borderId="4" xfId="1" applyNumberFormat="1" applyFont="1" applyBorder="1" applyAlignment="1" applyProtection="1">
      <alignment horizontal="center" vertical="center"/>
      <protection hidden="1"/>
    </xf>
    <xf numFmtId="164" fontId="4" fillId="0" borderId="5" xfId="1" applyNumberFormat="1" applyFont="1" applyBorder="1" applyAlignment="1" applyProtection="1">
      <alignment horizontal="center" vertical="center"/>
      <protection hidden="1"/>
    </xf>
    <xf numFmtId="0" fontId="4" fillId="0" borderId="5" xfId="1" applyFont="1" applyBorder="1" applyAlignment="1" applyProtection="1">
      <alignment horizontal="center" vertical="center"/>
      <protection hidden="1"/>
    </xf>
    <xf numFmtId="0" fontId="4" fillId="0" borderId="6" xfId="1" applyFont="1" applyBorder="1" applyAlignment="1" applyProtection="1">
      <alignment horizontal="center" vertical="center"/>
      <protection hidden="1"/>
    </xf>
    <xf numFmtId="0" fontId="2" fillId="0" borderId="7" xfId="0" applyFont="1" applyBorder="1" applyAlignment="1">
      <alignment horizontal="center"/>
    </xf>
    <xf numFmtId="0" fontId="5" fillId="0" borderId="7" xfId="0" applyFont="1" applyBorder="1" applyAlignment="1">
      <alignment horizontal="center" wrapText="1"/>
    </xf>
    <xf numFmtId="164" fontId="5" fillId="2" borderId="7" xfId="0" applyNumberFormat="1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2" fillId="0" borderId="7" xfId="1" applyFont="1" applyBorder="1" applyAlignment="1" applyProtection="1">
      <alignment horizontal="center" vertical="center"/>
      <protection hidden="1"/>
    </xf>
    <xf numFmtId="49" fontId="4" fillId="0" borderId="7" xfId="1" quotePrefix="1" applyNumberFormat="1" applyFont="1" applyBorder="1" applyAlignment="1" applyProtection="1">
      <alignment horizontal="center"/>
      <protection hidden="1"/>
    </xf>
    <xf numFmtId="49" fontId="5" fillId="0" borderId="7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Protection="1">
      <protection hidden="1"/>
    </xf>
    <xf numFmtId="0" fontId="2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164" fontId="5" fillId="2" borderId="2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2" fillId="0" borderId="2" xfId="1" applyFont="1" applyBorder="1" applyAlignment="1" applyProtection="1">
      <alignment horizontal="center" vertical="center"/>
      <protection hidden="1"/>
    </xf>
    <xf numFmtId="49" fontId="4" fillId="0" borderId="2" xfId="1" quotePrefix="1" applyNumberFormat="1" applyFont="1" applyBorder="1" applyAlignment="1" applyProtection="1">
      <alignment horizont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>
      <alignment horizontal="center"/>
    </xf>
    <xf numFmtId="0" fontId="2" fillId="3" borderId="2" xfId="1" applyFont="1" applyFill="1" applyBorder="1" applyAlignment="1" applyProtection="1">
      <alignment horizontal="center" vertical="center"/>
      <protection hidden="1"/>
    </xf>
    <xf numFmtId="49" fontId="2" fillId="0" borderId="2" xfId="1" quotePrefix="1" applyNumberFormat="1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165" fontId="9" fillId="0" borderId="8" xfId="0" applyNumberFormat="1" applyFont="1" applyBorder="1" applyAlignment="1" applyProtection="1">
      <alignment horizontal="center" vertical="center" wrapText="1"/>
      <protection hidden="1"/>
    </xf>
    <xf numFmtId="2" fontId="9" fillId="0" borderId="8" xfId="0" applyNumberFormat="1" applyFont="1" applyBorder="1" applyAlignment="1" applyProtection="1">
      <alignment horizontal="center" vertical="center" wrapText="1"/>
      <protection hidden="1"/>
    </xf>
    <xf numFmtId="2" fontId="9" fillId="0" borderId="8" xfId="0" applyNumberFormat="1" applyFont="1" applyBorder="1" applyAlignment="1" applyProtection="1">
      <alignment horizontal="center" vertical="center"/>
      <protection hidden="1"/>
    </xf>
    <xf numFmtId="2" fontId="9" fillId="0" borderId="9" xfId="0" applyNumberFormat="1" applyFont="1" applyBorder="1" applyAlignment="1" applyProtection="1">
      <alignment horizontal="center" vertical="center" wrapText="1"/>
      <protection hidden="1"/>
    </xf>
    <xf numFmtId="2" fontId="9" fillId="0" borderId="10" xfId="0" applyNumberFormat="1" applyFont="1" applyBorder="1" applyAlignment="1" applyProtection="1">
      <alignment horizontal="center" vertical="center" wrapText="1"/>
      <protection hidden="1"/>
    </xf>
    <xf numFmtId="165" fontId="9" fillId="0" borderId="11" xfId="0" applyNumberFormat="1" applyFont="1" applyBorder="1" applyAlignment="1" applyProtection="1">
      <alignment horizontal="center" vertical="center"/>
      <protection hidden="1"/>
    </xf>
    <xf numFmtId="1" fontId="4" fillId="0" borderId="10" xfId="2" applyNumberFormat="1" applyFont="1" applyBorder="1" applyAlignment="1" applyProtection="1">
      <alignment horizontal="center" vertical="center"/>
      <protection hidden="1"/>
    </xf>
    <xf numFmtId="2" fontId="2" fillId="0" borderId="10" xfId="2" applyNumberFormat="1" applyFont="1" applyBorder="1" applyAlignment="1" applyProtection="1">
      <alignment horizontal="center" vertical="center" wrapText="1"/>
      <protection hidden="1"/>
    </xf>
    <xf numFmtId="2" fontId="2" fillId="0" borderId="10" xfId="2" applyNumberFormat="1" applyFont="1" applyBorder="1" applyAlignment="1" applyProtection="1">
      <alignment horizontal="center" vertical="center"/>
      <protection hidden="1"/>
    </xf>
    <xf numFmtId="2" fontId="2" fillId="0" borderId="12" xfId="2" applyNumberFormat="1" applyFont="1" applyBorder="1" applyAlignment="1" applyProtection="1">
      <alignment horizontal="center" vertical="center"/>
      <protection hidden="1"/>
    </xf>
    <xf numFmtId="2" fontId="10" fillId="0" borderId="9" xfId="0" applyNumberFormat="1" applyFont="1" applyBorder="1" applyAlignment="1" applyProtection="1">
      <alignment horizontal="center" vertical="center" wrapText="1"/>
      <protection hidden="1"/>
    </xf>
    <xf numFmtId="1" fontId="8" fillId="0" borderId="10" xfId="0" applyNumberFormat="1" applyFont="1" applyBorder="1" applyAlignment="1" applyProtection="1">
      <alignment horizontal="center" vertical="center" wrapText="1"/>
      <protection hidden="1"/>
    </xf>
    <xf numFmtId="2" fontId="8" fillId="0" borderId="10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2" fontId="10" fillId="0" borderId="9" xfId="0" applyNumberFormat="1" applyFont="1" applyBorder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2" fontId="2" fillId="0" borderId="12" xfId="2" applyNumberFormat="1" applyFont="1" applyBorder="1" applyAlignment="1" applyProtection="1">
      <alignment horizontal="center" vertical="center" wrapText="1"/>
      <protection hidden="1"/>
    </xf>
    <xf numFmtId="2" fontId="2" fillId="0" borderId="0" xfId="2" applyNumberFormat="1" applyFont="1" applyAlignment="1" applyProtection="1">
      <alignment horizontal="center" vertical="center" wrapText="1"/>
      <protection hidden="1"/>
    </xf>
    <xf numFmtId="165" fontId="9" fillId="0" borderId="13" xfId="0" applyNumberFormat="1" applyFont="1" applyBorder="1" applyAlignment="1" applyProtection="1">
      <alignment horizontal="center" vertical="center"/>
      <protection hidden="1"/>
    </xf>
    <xf numFmtId="1" fontId="4" fillId="0" borderId="14" xfId="2" applyNumberFormat="1" applyFont="1" applyBorder="1" applyAlignment="1" applyProtection="1">
      <alignment horizontal="center" vertical="center"/>
      <protection hidden="1"/>
    </xf>
    <xf numFmtId="2" fontId="2" fillId="0" borderId="14" xfId="2" applyNumberFormat="1" applyFont="1" applyBorder="1" applyAlignment="1" applyProtection="1">
      <alignment horizontal="center" vertical="center" wrapText="1"/>
      <protection hidden="1"/>
    </xf>
    <xf numFmtId="2" fontId="2" fillId="0" borderId="14" xfId="2" applyNumberFormat="1" applyFont="1" applyBorder="1" applyAlignment="1" applyProtection="1">
      <alignment horizontal="center" vertical="center"/>
      <protection hidden="1"/>
    </xf>
    <xf numFmtId="2" fontId="2" fillId="0" borderId="15" xfId="2" applyNumberFormat="1" applyFont="1" applyBorder="1" applyAlignment="1" applyProtection="1">
      <alignment horizontal="center" vertical="center" wrapText="1"/>
      <protection hidden="1"/>
    </xf>
    <xf numFmtId="165" fontId="8" fillId="0" borderId="0" xfId="0" applyNumberFormat="1" applyFont="1" applyProtection="1">
      <protection hidden="1"/>
    </xf>
    <xf numFmtId="1" fontId="2" fillId="0" borderId="0" xfId="2" applyNumberFormat="1" applyFont="1" applyAlignment="1" applyProtection="1">
      <alignment horizontal="right" vertical="center" indent="1"/>
      <protection hidden="1"/>
    </xf>
    <xf numFmtId="2" fontId="2" fillId="0" borderId="0" xfId="2" applyNumberFormat="1" applyFont="1" applyAlignment="1" applyProtection="1">
      <alignment horizontal="left" vertical="center" wrapText="1" indent="1"/>
      <protection hidden="1"/>
    </xf>
    <xf numFmtId="2" fontId="2" fillId="0" borderId="0" xfId="2" applyNumberFormat="1" applyFont="1" applyAlignment="1" applyProtection="1">
      <alignment horizontal="right" vertical="center" wrapText="1" indent="1"/>
      <protection hidden="1"/>
    </xf>
    <xf numFmtId="2" fontId="2" fillId="0" borderId="0" xfId="2" applyNumberFormat="1" applyFont="1" applyAlignment="1" applyProtection="1">
      <alignment horizontal="right" vertical="center" indent="1"/>
      <protection hidden="1"/>
    </xf>
    <xf numFmtId="2" fontId="2" fillId="0" borderId="0" xfId="2" applyNumberFormat="1" applyFont="1" applyAlignment="1" applyProtection="1">
      <alignment horizontal="right" vertical="center"/>
      <protection hidden="1"/>
    </xf>
    <xf numFmtId="2" fontId="2" fillId="0" borderId="0" xfId="2" applyNumberFormat="1" applyFont="1" applyAlignment="1" applyProtection="1">
      <alignment horizontal="left" vertical="center" wrapText="1"/>
      <protection hidden="1"/>
    </xf>
    <xf numFmtId="2" fontId="8" fillId="0" borderId="0" xfId="0" applyNumberFormat="1" applyFont="1" applyProtection="1">
      <protection hidden="1"/>
    </xf>
    <xf numFmtId="2" fontId="0" fillId="0" borderId="0" xfId="0" applyNumberFormat="1" applyProtection="1">
      <protection hidden="1"/>
    </xf>
    <xf numFmtId="0" fontId="5" fillId="0" borderId="0" xfId="0" applyFont="1" applyProtection="1">
      <protection hidden="1"/>
    </xf>
    <xf numFmtId="2" fontId="5" fillId="0" borderId="0" xfId="0" applyNumberFormat="1" applyFont="1" applyProtection="1">
      <protection hidden="1"/>
    </xf>
    <xf numFmtId="0" fontId="4" fillId="0" borderId="11" xfId="4" applyFont="1" applyBorder="1" applyAlignment="1" applyProtection="1">
      <alignment horizontal="center" vertical="center" wrapText="1"/>
      <protection hidden="1"/>
    </xf>
    <xf numFmtId="0" fontId="4" fillId="0" borderId="10" xfId="3" applyFont="1" applyBorder="1" applyAlignment="1" applyProtection="1">
      <alignment horizontal="center" vertical="center" wrapText="1"/>
      <protection hidden="1"/>
    </xf>
    <xf numFmtId="1" fontId="4" fillId="0" borderId="10" xfId="4" applyNumberFormat="1" applyFont="1" applyBorder="1" applyAlignment="1" applyProtection="1">
      <alignment horizontal="center" vertical="center"/>
      <protection hidden="1"/>
    </xf>
    <xf numFmtId="1" fontId="4" fillId="0" borderId="12" xfId="4" applyNumberFormat="1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2" fontId="7" fillId="0" borderId="10" xfId="0" applyNumberFormat="1" applyFont="1" applyBorder="1" applyAlignment="1" applyProtection="1">
      <alignment horizontal="center"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2" fillId="0" borderId="11" xfId="4" applyFont="1" applyBorder="1" applyAlignment="1" applyProtection="1">
      <alignment horizontal="center" vertical="center" wrapText="1"/>
      <protection hidden="1"/>
    </xf>
    <xf numFmtId="0" fontId="2" fillId="0" borderId="10" xfId="3" applyFont="1" applyBorder="1" applyAlignment="1" applyProtection="1">
      <alignment horizontal="center" vertical="center"/>
      <protection hidden="1"/>
    </xf>
    <xf numFmtId="165" fontId="2" fillId="0" borderId="10" xfId="4" applyNumberFormat="1" applyFont="1" applyBorder="1" applyAlignment="1" applyProtection="1">
      <alignment horizontal="center" vertical="center"/>
      <protection hidden="1"/>
    </xf>
    <xf numFmtId="165" fontId="2" fillId="0" borderId="10" xfId="4" applyNumberFormat="1" applyFont="1" applyBorder="1" applyAlignment="1" applyProtection="1">
      <alignment horizontal="center" vertical="center" wrapText="1"/>
      <protection hidden="1"/>
    </xf>
    <xf numFmtId="165" fontId="2" fillId="0" borderId="12" xfId="4" applyNumberFormat="1" applyFont="1" applyBorder="1" applyAlignment="1" applyProtection="1">
      <alignment horizontal="center" vertical="center"/>
      <protection hidden="1"/>
    </xf>
    <xf numFmtId="0" fontId="4" fillId="0" borderId="11" xfId="3" applyFont="1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horizontal="center" vertical="center"/>
      <protection hidden="1"/>
    </xf>
    <xf numFmtId="165" fontId="4" fillId="0" borderId="12" xfId="4" applyNumberFormat="1" applyFont="1" applyBorder="1" applyAlignment="1" applyProtection="1">
      <alignment horizontal="center" vertical="center" wrapText="1"/>
      <protection hidden="1"/>
    </xf>
    <xf numFmtId="165" fontId="2" fillId="0" borderId="12" xfId="4" applyNumberFormat="1" applyFont="1" applyBorder="1" applyAlignment="1" applyProtection="1">
      <alignment horizontal="center" vertical="center" wrapText="1"/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2" fontId="5" fillId="0" borderId="10" xfId="0" applyNumberFormat="1" applyFont="1" applyBorder="1" applyAlignment="1" applyProtection="1">
      <alignment horizontal="center" vertical="center"/>
      <protection hidden="1"/>
    </xf>
    <xf numFmtId="0" fontId="2" fillId="0" borderId="10" xfId="4" applyFont="1" applyBorder="1" applyAlignment="1" applyProtection="1">
      <alignment horizontal="center" vertical="center"/>
      <protection hidden="1"/>
    </xf>
    <xf numFmtId="0" fontId="2" fillId="0" borderId="12" xfId="4" applyFont="1" applyBorder="1" applyAlignment="1" applyProtection="1">
      <alignment horizontal="center" vertical="center"/>
      <protection hidden="1"/>
    </xf>
    <xf numFmtId="0" fontId="2" fillId="0" borderId="13" xfId="4" applyFont="1" applyBorder="1" applyAlignment="1" applyProtection="1">
      <alignment horizontal="center" vertical="center" wrapText="1"/>
      <protection hidden="1"/>
    </xf>
    <xf numFmtId="0" fontId="2" fillId="0" borderId="14" xfId="3" applyFont="1" applyBorder="1" applyAlignment="1" applyProtection="1">
      <alignment horizontal="center" vertical="center"/>
      <protection hidden="1"/>
    </xf>
    <xf numFmtId="165" fontId="2" fillId="0" borderId="14" xfId="4" applyNumberFormat="1" applyFont="1" applyBorder="1" applyAlignment="1" applyProtection="1">
      <alignment horizontal="center" vertical="center"/>
      <protection hidden="1"/>
    </xf>
    <xf numFmtId="0" fontId="2" fillId="0" borderId="14" xfId="4" applyFont="1" applyBorder="1" applyAlignment="1" applyProtection="1">
      <alignment horizontal="center" vertical="center"/>
      <protection hidden="1"/>
    </xf>
    <xf numFmtId="0" fontId="2" fillId="0" borderId="15" xfId="4" applyFont="1" applyBorder="1" applyAlignment="1" applyProtection="1">
      <alignment horizontal="center" vertical="center"/>
      <protection hidden="1"/>
    </xf>
    <xf numFmtId="0" fontId="12" fillId="0" borderId="0" xfId="3" applyFont="1" applyProtection="1">
      <protection hidden="1"/>
    </xf>
    <xf numFmtId="0" fontId="2" fillId="0" borderId="0" xfId="3" applyFont="1" applyAlignment="1" applyProtection="1">
      <alignment horizontal="right"/>
      <protection hidden="1"/>
    </xf>
    <xf numFmtId="165" fontId="2" fillId="0" borderId="0" xfId="3" applyNumberFormat="1" applyFont="1" applyProtection="1">
      <protection hidden="1"/>
    </xf>
    <xf numFmtId="0" fontId="12" fillId="0" borderId="0" xfId="3" applyFont="1" applyAlignment="1" applyProtection="1">
      <alignment vertical="top"/>
      <protection hidden="1"/>
    </xf>
    <xf numFmtId="165" fontId="2" fillId="0" borderId="0" xfId="3" applyNumberFormat="1" applyFont="1" applyAlignment="1" applyProtection="1">
      <alignment vertical="top"/>
      <protection hidden="1"/>
    </xf>
    <xf numFmtId="0" fontId="2" fillId="0" borderId="0" xfId="3" applyFont="1" applyProtection="1">
      <protection hidden="1"/>
    </xf>
    <xf numFmtId="0" fontId="13" fillId="0" borderId="0" xfId="3" applyFont="1" applyAlignment="1" applyProtection="1">
      <alignment vertical="top"/>
      <protection hidden="1"/>
    </xf>
    <xf numFmtId="0" fontId="2" fillId="0" borderId="0" xfId="3" applyFont="1" applyAlignment="1" applyProtection="1">
      <alignment vertical="top"/>
      <protection hidden="1"/>
    </xf>
    <xf numFmtId="0" fontId="14" fillId="0" borderId="0" xfId="3" applyFont="1" applyProtection="1">
      <protection hidden="1"/>
    </xf>
    <xf numFmtId="0" fontId="15" fillId="0" borderId="0" xfId="0" applyFont="1" applyProtection="1">
      <protection hidden="1"/>
    </xf>
    <xf numFmtId="0" fontId="0" fillId="0" borderId="0" xfId="0" applyProtection="1">
      <protection locked="0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6" borderId="0" xfId="0" applyFill="1" applyProtection="1">
      <protection locked="0"/>
    </xf>
    <xf numFmtId="165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1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8" fillId="0" borderId="0" xfId="0" applyFont="1" applyProtection="1">
      <protection locked="0"/>
    </xf>
    <xf numFmtId="0" fontId="5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hidden="1"/>
    </xf>
    <xf numFmtId="11" fontId="0" fillId="0" borderId="0" xfId="0" applyNumberFormat="1" applyProtection="1">
      <protection hidden="1"/>
    </xf>
    <xf numFmtId="1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165" fontId="5" fillId="0" borderId="0" xfId="0" applyNumberFormat="1" applyFont="1" applyProtection="1">
      <protection locked="0"/>
    </xf>
    <xf numFmtId="164" fontId="5" fillId="0" borderId="0" xfId="0" applyNumberFormat="1" applyFont="1" applyProtection="1">
      <protection locked="0"/>
    </xf>
    <xf numFmtId="164" fontId="5" fillId="0" borderId="0" xfId="0" applyNumberFormat="1" applyFont="1" applyProtection="1">
      <protection hidden="1"/>
    </xf>
    <xf numFmtId="11" fontId="5" fillId="0" borderId="0" xfId="0" applyNumberFormat="1" applyFont="1" applyProtection="1">
      <protection hidden="1"/>
    </xf>
    <xf numFmtId="1" fontId="5" fillId="0" borderId="0" xfId="0" applyNumberFormat="1" applyFont="1" applyProtection="1">
      <protection hidden="1"/>
    </xf>
    <xf numFmtId="0" fontId="5" fillId="0" borderId="16" xfId="0" applyFont="1" applyBorder="1" applyProtection="1">
      <protection hidden="1"/>
    </xf>
    <xf numFmtId="0" fontId="5" fillId="0" borderId="17" xfId="0" applyFont="1" applyBorder="1" applyProtection="1">
      <protection hidden="1"/>
    </xf>
    <xf numFmtId="2" fontId="5" fillId="0" borderId="17" xfId="0" applyNumberFormat="1" applyFont="1" applyBorder="1" applyProtection="1">
      <protection hidden="1"/>
    </xf>
    <xf numFmtId="164" fontId="5" fillId="0" borderId="17" xfId="0" applyNumberFormat="1" applyFont="1" applyBorder="1" applyProtection="1">
      <protection hidden="1"/>
    </xf>
    <xf numFmtId="165" fontId="5" fillId="0" borderId="17" xfId="0" applyNumberFormat="1" applyFont="1" applyBorder="1" applyProtection="1">
      <protection hidden="1"/>
    </xf>
    <xf numFmtId="0" fontId="5" fillId="0" borderId="0" xfId="0" applyFont="1" applyAlignment="1" applyProtection="1">
      <alignment wrapText="1"/>
      <protection hidden="1"/>
    </xf>
    <xf numFmtId="0" fontId="5" fillId="0" borderId="0" xfId="0" applyFont="1" applyAlignment="1" applyProtection="1">
      <alignment horizontal="left" wrapText="1"/>
      <protection hidden="1"/>
    </xf>
    <xf numFmtId="0" fontId="5" fillId="0" borderId="0" xfId="0" applyFont="1"/>
    <xf numFmtId="0" fontId="5" fillId="0" borderId="19" xfId="0" applyFont="1" applyBorder="1" applyAlignment="1" applyProtection="1">
      <alignment horizontal="left" wrapText="1"/>
      <protection hidden="1"/>
    </xf>
    <xf numFmtId="0" fontId="5" fillId="0" borderId="0" xfId="0" applyFont="1" applyAlignment="1">
      <alignment wrapText="1"/>
    </xf>
    <xf numFmtId="0" fontId="5" fillId="0" borderId="0" xfId="0" applyFont="1" applyAlignment="1" applyProtection="1">
      <alignment horizontal="center"/>
      <protection locked="0"/>
    </xf>
    <xf numFmtId="0" fontId="5" fillId="0" borderId="25" xfId="0" applyFont="1" applyBorder="1" applyAlignment="1" applyProtection="1">
      <alignment wrapText="1"/>
      <protection hidden="1"/>
    </xf>
    <xf numFmtId="11" fontId="5" fillId="0" borderId="0" xfId="0" applyNumberFormat="1" applyFont="1" applyProtection="1">
      <protection locked="0"/>
    </xf>
    <xf numFmtId="1" fontId="5" fillId="0" borderId="0" xfId="0" applyNumberFormat="1" applyFont="1" applyProtection="1">
      <protection locked="0"/>
    </xf>
    <xf numFmtId="0" fontId="5" fillId="7" borderId="28" xfId="0" applyFont="1" applyFill="1" applyBorder="1" applyAlignment="1" applyProtection="1">
      <alignment horizontal="center"/>
      <protection locked="0"/>
    </xf>
    <xf numFmtId="0" fontId="5" fillId="7" borderId="28" xfId="0" applyFont="1" applyFill="1" applyBorder="1" applyAlignment="1" applyProtection="1">
      <alignment horizontal="center" vertical="center"/>
      <protection locked="0"/>
    </xf>
    <xf numFmtId="0" fontId="5" fillId="7" borderId="46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vertical="top" wrapText="1"/>
      <protection hidden="1"/>
    </xf>
    <xf numFmtId="0" fontId="5" fillId="0" borderId="0" xfId="0" applyFont="1" applyAlignment="1" applyProtection="1">
      <alignment horizontal="left" vertical="top" wrapText="1"/>
      <protection hidden="1"/>
    </xf>
    <xf numFmtId="0" fontId="5" fillId="0" borderId="0" xfId="0" applyFont="1" applyAlignment="1">
      <alignment vertical="top" wrapText="1"/>
    </xf>
    <xf numFmtId="0" fontId="5" fillId="0" borderId="19" xfId="0" applyFont="1" applyBorder="1" applyAlignment="1" applyProtection="1">
      <alignment horizontal="left" vertical="top" wrapText="1"/>
      <protection hidden="1"/>
    </xf>
    <xf numFmtId="165" fontId="8" fillId="0" borderId="0" xfId="0" applyNumberFormat="1" applyFont="1" applyProtection="1">
      <protection locked="0"/>
    </xf>
    <xf numFmtId="164" fontId="8" fillId="0" borderId="0" xfId="0" applyNumberFormat="1" applyFont="1" applyProtection="1">
      <protection locked="0"/>
    </xf>
    <xf numFmtId="11" fontId="8" fillId="0" borderId="0" xfId="0" applyNumberFormat="1" applyFont="1" applyProtection="1">
      <protection locked="0"/>
    </xf>
    <xf numFmtId="1" fontId="8" fillId="0" borderId="0" xfId="0" applyNumberFormat="1" applyFont="1" applyProtection="1">
      <protection locked="0"/>
    </xf>
    <xf numFmtId="0" fontId="8" fillId="4" borderId="53" xfId="0" applyFont="1" applyFill="1" applyBorder="1" applyAlignment="1" applyProtection="1">
      <alignment horizontal="center"/>
      <protection hidden="1"/>
    </xf>
    <xf numFmtId="0" fontId="8" fillId="4" borderId="54" xfId="0" applyFont="1" applyFill="1" applyBorder="1" applyAlignment="1" applyProtection="1">
      <alignment horizontal="center"/>
      <protection hidden="1"/>
    </xf>
    <xf numFmtId="1" fontId="8" fillId="4" borderId="54" xfId="0" applyNumberFormat="1" applyFont="1" applyFill="1" applyBorder="1" applyAlignment="1" applyProtection="1">
      <alignment horizontal="center"/>
      <protection hidden="1"/>
    </xf>
    <xf numFmtId="0" fontId="8" fillId="5" borderId="54" xfId="0" applyFont="1" applyFill="1" applyBorder="1" applyAlignment="1" applyProtection="1">
      <alignment horizontal="center"/>
      <protection hidden="1"/>
    </xf>
    <xf numFmtId="1" fontId="8" fillId="5" borderId="54" xfId="0" applyNumberFormat="1" applyFont="1" applyFill="1" applyBorder="1" applyAlignment="1" applyProtection="1">
      <alignment horizontal="center"/>
      <protection hidden="1"/>
    </xf>
    <xf numFmtId="164" fontId="8" fillId="6" borderId="54" xfId="0" applyNumberFormat="1" applyFont="1" applyFill="1" applyBorder="1" applyAlignment="1" applyProtection="1">
      <alignment horizontal="center"/>
      <protection hidden="1"/>
    </xf>
    <xf numFmtId="0" fontId="8" fillId="6" borderId="54" xfId="0" applyFont="1" applyFill="1" applyBorder="1" applyAlignment="1" applyProtection="1">
      <alignment horizontal="center"/>
      <protection hidden="1"/>
    </xf>
    <xf numFmtId="1" fontId="8" fillId="6" borderId="54" xfId="0" applyNumberFormat="1" applyFont="1" applyFill="1" applyBorder="1" applyAlignment="1" applyProtection="1">
      <alignment horizontal="center"/>
      <protection hidden="1"/>
    </xf>
    <xf numFmtId="1" fontId="8" fillId="8" borderId="54" xfId="0" applyNumberFormat="1" applyFont="1" applyFill="1" applyBorder="1" applyAlignment="1" applyProtection="1">
      <alignment horizontal="center"/>
      <protection hidden="1"/>
    </xf>
    <xf numFmtId="165" fontId="8" fillId="8" borderId="54" xfId="0" applyNumberFormat="1" applyFont="1" applyFill="1" applyBorder="1" applyAlignment="1" applyProtection="1">
      <alignment horizontal="center"/>
      <protection hidden="1"/>
    </xf>
    <xf numFmtId="0" fontId="18" fillId="9" borderId="54" xfId="5" applyFont="1" applyFill="1" applyBorder="1" applyAlignment="1" applyProtection="1">
      <alignment horizontal="center"/>
      <protection hidden="1"/>
    </xf>
    <xf numFmtId="164" fontId="18" fillId="9" borderId="54" xfId="5" applyNumberFormat="1" applyFont="1" applyFill="1" applyBorder="1" applyAlignment="1" applyProtection="1">
      <alignment horizontal="center"/>
      <protection hidden="1"/>
    </xf>
    <xf numFmtId="164" fontId="8" fillId="10" borderId="54" xfId="0" applyNumberFormat="1" applyFont="1" applyFill="1" applyBorder="1" applyAlignment="1" applyProtection="1">
      <alignment horizontal="center"/>
      <protection hidden="1"/>
    </xf>
    <xf numFmtId="0" fontId="8" fillId="10" borderId="54" xfId="0" applyFont="1" applyFill="1" applyBorder="1" applyAlignment="1" applyProtection="1">
      <alignment horizontal="center"/>
      <protection hidden="1"/>
    </xf>
    <xf numFmtId="1" fontId="8" fillId="10" borderId="54" xfId="0" applyNumberFormat="1" applyFont="1" applyFill="1" applyBorder="1" applyAlignment="1" applyProtection="1">
      <alignment horizontal="center"/>
      <protection hidden="1"/>
    </xf>
    <xf numFmtId="0" fontId="8" fillId="0" borderId="54" xfId="0" applyFont="1" applyBorder="1" applyAlignment="1" applyProtection="1">
      <alignment horizontal="center"/>
      <protection hidden="1"/>
    </xf>
    <xf numFmtId="1" fontId="8" fillId="0" borderId="54" xfId="0" applyNumberFormat="1" applyFont="1" applyBorder="1" applyAlignment="1" applyProtection="1">
      <alignment horizontal="center"/>
      <protection hidden="1"/>
    </xf>
    <xf numFmtId="1" fontId="8" fillId="0" borderId="55" xfId="0" applyNumberFormat="1" applyFont="1" applyBorder="1" applyAlignment="1" applyProtection="1">
      <alignment horizont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5" fontId="5" fillId="0" borderId="0" xfId="0" applyNumberFormat="1" applyFont="1" applyAlignment="1" applyProtection="1">
      <alignment horizontal="center"/>
      <protection hidden="1"/>
    </xf>
    <xf numFmtId="165" fontId="5" fillId="0" borderId="34" xfId="0" applyNumberFormat="1" applyFont="1" applyBorder="1" applyAlignment="1" applyProtection="1">
      <alignment horizontal="center"/>
      <protection hidden="1"/>
    </xf>
    <xf numFmtId="0" fontId="5" fillId="0" borderId="58" xfId="0" applyFont="1" applyBorder="1" applyAlignment="1" applyProtection="1">
      <alignment horizontal="center"/>
      <protection hidden="1"/>
    </xf>
    <xf numFmtId="0" fontId="5" fillId="0" borderId="28" xfId="0" applyFont="1" applyBorder="1" applyAlignment="1" applyProtection="1">
      <alignment horizontal="center"/>
      <protection hidden="1"/>
    </xf>
    <xf numFmtId="0" fontId="5" fillId="7" borderId="58" xfId="0" quotePrefix="1" applyFont="1" applyFill="1" applyBorder="1" applyAlignment="1" applyProtection="1">
      <alignment horizontal="left"/>
      <protection locked="0"/>
    </xf>
    <xf numFmtId="165" fontId="5" fillId="0" borderId="58" xfId="0" applyNumberFormat="1" applyFont="1" applyBorder="1" applyAlignment="1" applyProtection="1">
      <alignment horizontal="left"/>
      <protection hidden="1"/>
    </xf>
    <xf numFmtId="165" fontId="5" fillId="0" borderId="28" xfId="0" applyNumberFormat="1" applyFont="1" applyBorder="1" applyAlignment="1" applyProtection="1">
      <alignment horizontal="center"/>
      <protection hidden="1"/>
    </xf>
    <xf numFmtId="164" fontId="5" fillId="0" borderId="28" xfId="0" applyNumberFormat="1" applyFont="1" applyBorder="1" applyAlignment="1" applyProtection="1">
      <alignment horizontal="center"/>
      <protection hidden="1"/>
    </xf>
    <xf numFmtId="165" fontId="5" fillId="7" borderId="28" xfId="0" applyNumberFormat="1" applyFont="1" applyFill="1" applyBorder="1" applyAlignment="1" applyProtection="1">
      <alignment horizontal="center"/>
      <protection locked="0"/>
    </xf>
    <xf numFmtId="2" fontId="5" fillId="0" borderId="28" xfId="0" applyNumberFormat="1" applyFont="1" applyBorder="1" applyAlignment="1" applyProtection="1">
      <alignment horizontal="center"/>
      <protection hidden="1"/>
    </xf>
    <xf numFmtId="0" fontId="5" fillId="7" borderId="28" xfId="0" quotePrefix="1" applyFont="1" applyFill="1" applyBorder="1" applyAlignment="1" applyProtection="1">
      <alignment horizontal="left"/>
      <protection locked="0"/>
    </xf>
    <xf numFmtId="165" fontId="5" fillId="0" borderId="28" xfId="0" applyNumberFormat="1" applyFont="1" applyBorder="1" applyAlignment="1" applyProtection="1">
      <alignment horizontal="left"/>
      <protection hidden="1"/>
    </xf>
    <xf numFmtId="164" fontId="5" fillId="0" borderId="28" xfId="0" applyNumberFormat="1" applyFont="1" applyBorder="1" applyAlignment="1" applyProtection="1">
      <alignment horizontal="center" shrinkToFit="1"/>
      <protection hidden="1"/>
    </xf>
    <xf numFmtId="164" fontId="5" fillId="7" borderId="28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9" fillId="0" borderId="0" xfId="0" applyFont="1" applyAlignment="1">
      <alignment horizontal="right"/>
    </xf>
    <xf numFmtId="0" fontId="2" fillId="0" borderId="0" xfId="6" applyProtection="1">
      <protection locked="0"/>
    </xf>
    <xf numFmtId="164" fontId="5" fillId="0" borderId="7" xfId="0" applyNumberFormat="1" applyFont="1" applyBorder="1" applyAlignment="1" applyProtection="1">
      <alignment horizontal="center"/>
      <protection hidden="1"/>
    </xf>
    <xf numFmtId="0" fontId="5" fillId="0" borderId="7" xfId="0" applyFont="1" applyBorder="1" applyAlignment="1" applyProtection="1">
      <alignment horizontal="center"/>
      <protection hidden="1"/>
    </xf>
    <xf numFmtId="0" fontId="5" fillId="0" borderId="61" xfId="0" applyFont="1" applyBorder="1" applyAlignment="1" applyProtection="1">
      <alignment horizontal="center"/>
      <protection hidden="1"/>
    </xf>
    <xf numFmtId="164" fontId="5" fillId="7" borderId="61" xfId="0" applyNumberFormat="1" applyFont="1" applyFill="1" applyBorder="1" applyAlignment="1" applyProtection="1">
      <alignment horizontal="center"/>
      <protection locked="0"/>
    </xf>
    <xf numFmtId="0" fontId="5" fillId="7" borderId="61" xfId="0" quotePrefix="1" applyFont="1" applyFill="1" applyBorder="1" applyAlignment="1" applyProtection="1">
      <alignment horizontal="left"/>
      <protection locked="0"/>
    </xf>
    <xf numFmtId="165" fontId="5" fillId="0" borderId="61" xfId="0" applyNumberFormat="1" applyFont="1" applyBorder="1" applyAlignment="1" applyProtection="1">
      <alignment horizontal="left"/>
      <protection hidden="1"/>
    </xf>
    <xf numFmtId="0" fontId="24" fillId="0" borderId="0" xfId="0" applyFont="1" applyAlignment="1" applyProtection="1">
      <alignment vertical="center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24" fillId="0" borderId="85" xfId="0" applyFont="1" applyBorder="1" applyAlignment="1" applyProtection="1">
      <alignment vertical="center"/>
      <protection hidden="1"/>
    </xf>
    <xf numFmtId="0" fontId="7" fillId="0" borderId="17" xfId="0" applyFont="1" applyBorder="1" applyProtection="1">
      <protection hidden="1"/>
    </xf>
    <xf numFmtId="0" fontId="7" fillId="0" borderId="91" xfId="0" applyFont="1" applyBorder="1" applyProtection="1">
      <protection hidden="1"/>
    </xf>
    <xf numFmtId="0" fontId="7" fillId="0" borderId="92" xfId="0" applyFont="1" applyBorder="1" applyProtection="1">
      <protection hidden="1"/>
    </xf>
    <xf numFmtId="165" fontId="5" fillId="7" borderId="31" xfId="0" applyNumberFormat="1" applyFont="1" applyFill="1" applyBorder="1" applyAlignment="1" applyProtection="1">
      <alignment horizontal="left"/>
      <protection locked="0"/>
    </xf>
    <xf numFmtId="165" fontId="5" fillId="7" borderId="7" xfId="0" applyNumberFormat="1" applyFont="1" applyFill="1" applyBorder="1" applyAlignment="1" applyProtection="1">
      <alignment horizontal="center"/>
      <protection locked="0"/>
    </xf>
    <xf numFmtId="165" fontId="5" fillId="0" borderId="98" xfId="0" applyNumberFormat="1" applyFont="1" applyBorder="1" applyAlignment="1" applyProtection="1">
      <alignment horizontal="center"/>
      <protection hidden="1"/>
    </xf>
    <xf numFmtId="0" fontId="5" fillId="0" borderId="98" xfId="0" applyFont="1" applyBorder="1" applyAlignment="1" applyProtection="1">
      <alignment horizontal="center"/>
      <protection hidden="1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165" fontId="5" fillId="0" borderId="101" xfId="0" applyNumberFormat="1" applyFont="1" applyBorder="1" applyAlignment="1" applyProtection="1">
      <alignment horizontal="center"/>
      <protection hidden="1"/>
    </xf>
    <xf numFmtId="0" fontId="5" fillId="0" borderId="30" xfId="0" applyFont="1" applyBorder="1" applyAlignment="1" applyProtection="1">
      <alignment horizontal="center"/>
      <protection hidden="1"/>
    </xf>
    <xf numFmtId="0" fontId="5" fillId="0" borderId="101" xfId="0" applyFont="1" applyBorder="1" applyAlignment="1" applyProtection="1">
      <alignment horizontal="center"/>
      <protection hidden="1"/>
    </xf>
    <xf numFmtId="165" fontId="5" fillId="7" borderId="25" xfId="0" applyNumberFormat="1" applyFont="1" applyFill="1" applyBorder="1" applyAlignment="1" applyProtection="1">
      <alignment horizontal="left"/>
      <protection locked="0"/>
    </xf>
    <xf numFmtId="165" fontId="5" fillId="7" borderId="22" xfId="0" applyNumberFormat="1" applyFont="1" applyFill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hidden="1"/>
    </xf>
    <xf numFmtId="165" fontId="5" fillId="0" borderId="22" xfId="0" applyNumberFormat="1" applyFont="1" applyBorder="1" applyAlignment="1" applyProtection="1">
      <alignment horizontal="center"/>
      <protection hidden="1"/>
    </xf>
    <xf numFmtId="0" fontId="5" fillId="0" borderId="22" xfId="0" applyFont="1" applyBorder="1" applyAlignment="1">
      <alignment horizontal="center" vertical="center" wrapText="1"/>
    </xf>
    <xf numFmtId="165" fontId="5" fillId="0" borderId="102" xfId="0" applyNumberFormat="1" applyFont="1" applyBorder="1" applyAlignment="1" applyProtection="1">
      <alignment horizontal="center"/>
      <protection hidden="1"/>
    </xf>
    <xf numFmtId="0" fontId="5" fillId="0" borderId="22" xfId="0" applyFont="1" applyBorder="1" applyAlignment="1">
      <alignment horizontal="center"/>
    </xf>
    <xf numFmtId="165" fontId="5" fillId="0" borderId="0" xfId="0" applyNumberFormat="1" applyFont="1"/>
    <xf numFmtId="2" fontId="5" fillId="0" borderId="0" xfId="0" applyNumberFormat="1" applyFont="1"/>
    <xf numFmtId="164" fontId="5" fillId="0" borderId="0" xfId="0" applyNumberFormat="1" applyFont="1"/>
    <xf numFmtId="0" fontId="5" fillId="7" borderId="28" xfId="0" applyFont="1" applyFill="1" applyBorder="1" applyAlignment="1" applyProtection="1">
      <alignment horizontal="center" wrapText="1"/>
      <protection hidden="1"/>
    </xf>
    <xf numFmtId="164" fontId="5" fillId="7" borderId="37" xfId="0" applyNumberFormat="1" applyFont="1" applyFill="1" applyBorder="1" applyProtection="1">
      <protection locked="0"/>
    </xf>
    <xf numFmtId="0" fontId="5" fillId="7" borderId="99" xfId="0" applyFont="1" applyFill="1" applyBorder="1" applyProtection="1">
      <protection locked="0"/>
    </xf>
    <xf numFmtId="164" fontId="5" fillId="7" borderId="99" xfId="0" applyNumberFormat="1" applyFont="1" applyFill="1" applyBorder="1" applyProtection="1">
      <protection locked="0"/>
    </xf>
    <xf numFmtId="0" fontId="5" fillId="7" borderId="99" xfId="0" applyFont="1" applyFill="1" applyBorder="1" applyAlignment="1" applyProtection="1">
      <protection locked="0"/>
    </xf>
    <xf numFmtId="2" fontId="5" fillId="7" borderId="99" xfId="0" applyNumberFormat="1" applyFont="1" applyFill="1" applyBorder="1" applyProtection="1">
      <protection locked="0"/>
    </xf>
    <xf numFmtId="0" fontId="7" fillId="7" borderId="99" xfId="0" applyFont="1" applyFill="1" applyBorder="1" applyProtection="1">
      <protection locked="0"/>
    </xf>
    <xf numFmtId="0" fontId="5" fillId="7" borderId="36" xfId="0" applyFont="1" applyFill="1" applyBorder="1" applyProtection="1">
      <protection locked="0"/>
    </xf>
    <xf numFmtId="164" fontId="5" fillId="7" borderId="30" xfId="0" applyNumberFormat="1" applyFont="1" applyFill="1" applyBorder="1" applyProtection="1">
      <protection locked="0"/>
    </xf>
    <xf numFmtId="0" fontId="5" fillId="7" borderId="32" xfId="0" applyFont="1" applyFill="1" applyBorder="1" applyProtection="1">
      <protection locked="0"/>
    </xf>
    <xf numFmtId="164" fontId="5" fillId="7" borderId="32" xfId="0" applyNumberFormat="1" applyFont="1" applyFill="1" applyBorder="1" applyProtection="1">
      <protection locked="0"/>
    </xf>
    <xf numFmtId="164" fontId="5" fillId="7" borderId="32" xfId="0" applyNumberFormat="1" applyFont="1" applyFill="1" applyBorder="1" applyAlignment="1" applyProtection="1">
      <alignment horizontal="center"/>
      <protection locked="0"/>
    </xf>
    <xf numFmtId="2" fontId="5" fillId="7" borderId="32" xfId="0" applyNumberFormat="1" applyFont="1" applyFill="1" applyBorder="1" applyAlignment="1" applyProtection="1">
      <alignment horizontal="center"/>
      <protection locked="0"/>
    </xf>
    <xf numFmtId="2" fontId="5" fillId="7" borderId="32" xfId="0" applyNumberFormat="1" applyFont="1" applyFill="1" applyBorder="1" applyProtection="1">
      <protection locked="0"/>
    </xf>
    <xf numFmtId="0" fontId="5" fillId="7" borderId="29" xfId="0" applyFont="1" applyFill="1" applyBorder="1" applyProtection="1">
      <protection locked="0"/>
    </xf>
    <xf numFmtId="0" fontId="5" fillId="7" borderId="32" xfId="0" applyFont="1" applyFill="1" applyBorder="1" applyAlignment="1" applyProtection="1">
      <protection locked="0"/>
    </xf>
    <xf numFmtId="0" fontId="7" fillId="0" borderId="52" xfId="0" applyFont="1" applyBorder="1" applyAlignment="1" applyProtection="1">
      <alignment horizontal="right" vertical="center"/>
      <protection hidden="1"/>
    </xf>
    <xf numFmtId="0" fontId="17" fillId="0" borderId="51" xfId="0" applyFont="1" applyBorder="1" applyAlignment="1" applyProtection="1">
      <alignment vertical="center"/>
      <protection hidden="1"/>
    </xf>
    <xf numFmtId="0" fontId="5" fillId="0" borderId="51" xfId="0" applyFont="1" applyBorder="1" applyProtection="1">
      <protection hidden="1"/>
    </xf>
    <xf numFmtId="0" fontId="8" fillId="0" borderId="51" xfId="0" applyFont="1" applyBorder="1" applyProtection="1">
      <protection hidden="1"/>
    </xf>
    <xf numFmtId="165" fontId="5" fillId="0" borderId="51" xfId="0" applyNumberFormat="1" applyFont="1" applyBorder="1" applyProtection="1">
      <protection hidden="1"/>
    </xf>
    <xf numFmtId="164" fontId="5" fillId="0" borderId="51" xfId="0" applyNumberFormat="1" applyFont="1" applyBorder="1" applyProtection="1">
      <protection hidden="1"/>
    </xf>
    <xf numFmtId="2" fontId="5" fillId="0" borderId="51" xfId="0" applyNumberFormat="1" applyFont="1" applyBorder="1" applyProtection="1">
      <protection hidden="1"/>
    </xf>
    <xf numFmtId="16" fontId="5" fillId="0" borderId="51" xfId="0" quotePrefix="1" applyNumberFormat="1" applyFont="1" applyBorder="1" applyProtection="1">
      <protection hidden="1"/>
    </xf>
    <xf numFmtId="0" fontId="5" fillId="0" borderId="50" xfId="0" applyFont="1" applyBorder="1" applyProtection="1">
      <protection hidden="1"/>
    </xf>
    <xf numFmtId="49" fontId="5" fillId="0" borderId="20" xfId="0" applyNumberFormat="1" applyFont="1" applyBorder="1" applyAlignment="1" applyProtection="1">
      <alignment horizontal="right" vertical="top" wrapText="1"/>
      <protection hidden="1"/>
    </xf>
    <xf numFmtId="49" fontId="5" fillId="0" borderId="0" xfId="0" applyNumberFormat="1" applyFont="1" applyAlignment="1" applyProtection="1">
      <alignment horizontal="right" vertical="top" wrapText="1"/>
      <protection hidden="1"/>
    </xf>
    <xf numFmtId="0" fontId="5" fillId="0" borderId="0" xfId="0" applyFont="1" applyAlignment="1" applyProtection="1">
      <alignment vertical="top"/>
      <protection hidden="1"/>
    </xf>
    <xf numFmtId="49" fontId="5" fillId="0" borderId="20" xfId="0" applyNumberFormat="1" applyFont="1" applyBorder="1" applyAlignment="1" applyProtection="1">
      <alignment horizontal="right" vertical="center" wrapText="1"/>
      <protection hidden="1"/>
    </xf>
    <xf numFmtId="49" fontId="5" fillId="0" borderId="0" xfId="0" applyNumberFormat="1" applyFont="1" applyAlignment="1" applyProtection="1">
      <alignment horizontal="right" vertical="center" wrapText="1"/>
      <protection hidden="1"/>
    </xf>
    <xf numFmtId="0" fontId="5" fillId="0" borderId="0" xfId="0" applyFont="1" applyAlignment="1" applyProtection="1"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left"/>
      <protection hidden="1"/>
    </xf>
    <xf numFmtId="0" fontId="5" fillId="0" borderId="0" xfId="0" quotePrefix="1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7" fillId="0" borderId="0" xfId="0" applyFo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5" fillId="0" borderId="0" xfId="0" applyFont="1" applyBorder="1" applyProtection="1">
      <protection hidden="1"/>
    </xf>
    <xf numFmtId="0" fontId="16" fillId="0" borderId="20" xfId="0" applyFont="1" applyBorder="1" applyProtection="1">
      <protection hidden="1"/>
    </xf>
    <xf numFmtId="0" fontId="16" fillId="0" borderId="0" xfId="0" applyFont="1" applyProtection="1">
      <protection hidden="1"/>
    </xf>
    <xf numFmtId="0" fontId="5" fillId="0" borderId="49" xfId="0" applyFont="1" applyBorder="1" applyProtection="1">
      <protection hidden="1"/>
    </xf>
    <xf numFmtId="0" fontId="5" fillId="0" borderId="48" xfId="0" applyFont="1" applyBorder="1" applyProtection="1">
      <protection hidden="1"/>
    </xf>
    <xf numFmtId="165" fontId="5" fillId="0" borderId="48" xfId="0" applyNumberFormat="1" applyFont="1" applyBorder="1" applyProtection="1">
      <protection hidden="1"/>
    </xf>
    <xf numFmtId="0" fontId="7" fillId="0" borderId="47" xfId="0" applyFont="1" applyBorder="1" applyAlignment="1" applyProtection="1">
      <alignment horizontal="right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5" fillId="0" borderId="19" xfId="0" applyFont="1" applyBorder="1" applyProtection="1">
      <protection hidden="1"/>
    </xf>
    <xf numFmtId="0" fontId="5" fillId="0" borderId="31" xfId="0" applyFont="1" applyBorder="1" applyProtection="1">
      <protection hidden="1"/>
    </xf>
    <xf numFmtId="0" fontId="5" fillId="0" borderId="32" xfId="0" applyFont="1" applyBorder="1" applyProtection="1">
      <protection hidden="1"/>
    </xf>
    <xf numFmtId="165" fontId="5" fillId="0" borderId="32" xfId="0" applyNumberFormat="1" applyFont="1" applyBorder="1" applyProtection="1">
      <protection hidden="1"/>
    </xf>
    <xf numFmtId="0" fontId="7" fillId="0" borderId="29" xfId="0" applyFont="1" applyBorder="1" applyAlignment="1" applyProtection="1">
      <alignment horizontal="right"/>
      <protection hidden="1"/>
    </xf>
    <xf numFmtId="0" fontId="5" fillId="0" borderId="33" xfId="0" applyFont="1" applyBorder="1" applyAlignment="1" applyProtection="1">
      <alignment horizontal="center" vertical="center"/>
      <protection hidden="1"/>
    </xf>
    <xf numFmtId="0" fontId="5" fillId="0" borderId="41" xfId="0" applyFont="1" applyBorder="1" applyProtection="1">
      <protection hidden="1"/>
    </xf>
    <xf numFmtId="0" fontId="5" fillId="0" borderId="40" xfId="0" applyFont="1" applyBorder="1" applyProtection="1">
      <protection hidden="1"/>
    </xf>
    <xf numFmtId="0" fontId="5" fillId="0" borderId="39" xfId="0" applyFont="1" applyBorder="1" applyProtection="1">
      <protection hidden="1"/>
    </xf>
    <xf numFmtId="0" fontId="5" fillId="0" borderId="9" xfId="0" applyFont="1" applyBorder="1" applyProtection="1">
      <protection hidden="1"/>
    </xf>
    <xf numFmtId="164" fontId="5" fillId="0" borderId="10" xfId="0" applyNumberFormat="1" applyFont="1" applyBorder="1" applyAlignment="1" applyProtection="1">
      <alignment horizontal="center"/>
      <protection hidden="1"/>
    </xf>
    <xf numFmtId="2" fontId="5" fillId="0" borderId="12" xfId="0" applyNumberFormat="1" applyFont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0" fontId="5" fillId="0" borderId="33" xfId="0" quotePrefix="1" applyFont="1" applyBorder="1" applyAlignment="1" applyProtection="1">
      <alignment horizontal="center" vertical="center"/>
      <protection hidden="1"/>
    </xf>
    <xf numFmtId="2" fontId="5" fillId="0" borderId="35" xfId="0" applyNumberFormat="1" applyFont="1" applyBorder="1" applyAlignment="1" applyProtection="1">
      <alignment horizontal="center"/>
      <protection hidden="1"/>
    </xf>
    <xf numFmtId="2" fontId="5" fillId="0" borderId="34" xfId="0" applyNumberFormat="1" applyFont="1" applyBorder="1" applyAlignment="1" applyProtection="1">
      <alignment horizontal="center"/>
      <protection hidden="1"/>
    </xf>
    <xf numFmtId="2" fontId="5" fillId="0" borderId="27" xfId="0" applyNumberFormat="1" applyFont="1" applyBorder="1" applyAlignment="1" applyProtection="1">
      <alignment horizontal="center"/>
      <protection hidden="1"/>
    </xf>
    <xf numFmtId="0" fontId="5" fillId="0" borderId="20" xfId="0" applyFont="1" applyBorder="1" applyProtection="1">
      <protection hidden="1"/>
    </xf>
    <xf numFmtId="165" fontId="5" fillId="0" borderId="27" xfId="0" applyNumberFormat="1" applyFont="1" applyBorder="1" applyAlignment="1" applyProtection="1">
      <alignment horizontal="center"/>
      <protection hidden="1"/>
    </xf>
    <xf numFmtId="165" fontId="5" fillId="0" borderId="0" xfId="0" applyNumberFormat="1" applyFont="1" applyProtection="1">
      <protection hidden="1"/>
    </xf>
    <xf numFmtId="2" fontId="5" fillId="0" borderId="28" xfId="0" applyNumberFormat="1" applyFont="1" applyBorder="1" applyAlignment="1" applyProtection="1">
      <alignment horizontal="center" wrapText="1"/>
      <protection hidden="1"/>
    </xf>
    <xf numFmtId="2" fontId="5" fillId="0" borderId="27" xfId="0" applyNumberFormat="1" applyFont="1" applyBorder="1" applyAlignment="1" applyProtection="1">
      <alignment horizontal="center" wrapText="1"/>
      <protection hidden="1"/>
    </xf>
    <xf numFmtId="2" fontId="5" fillId="0" borderId="0" xfId="0" applyNumberFormat="1" applyFont="1" applyAlignment="1" applyProtection="1">
      <alignment horizontal="center" wrapText="1"/>
      <protection hidden="1"/>
    </xf>
    <xf numFmtId="0" fontId="5" fillId="0" borderId="26" xfId="0" applyFont="1" applyBorder="1" applyAlignment="1" applyProtection="1">
      <alignment wrapText="1"/>
      <protection hidden="1"/>
    </xf>
    <xf numFmtId="0" fontId="7" fillId="0" borderId="23" xfId="0" applyFont="1" applyBorder="1" applyAlignment="1" applyProtection="1">
      <alignment horizontal="right"/>
      <protection hidden="1"/>
    </xf>
    <xf numFmtId="0" fontId="5" fillId="0" borderId="21" xfId="0" applyFont="1" applyBorder="1" applyAlignment="1" applyProtection="1">
      <alignment horizontal="center" wrapText="1"/>
      <protection hidden="1"/>
    </xf>
    <xf numFmtId="2" fontId="5" fillId="0" borderId="22" xfId="0" applyNumberFormat="1" applyFont="1" applyBorder="1" applyAlignment="1" applyProtection="1">
      <alignment horizontal="center"/>
      <protection hidden="1"/>
    </xf>
    <xf numFmtId="2" fontId="5" fillId="0" borderId="21" xfId="0" applyNumberFormat="1" applyFont="1" applyBorder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 wrapText="1"/>
      <protection hidden="1"/>
    </xf>
    <xf numFmtId="49" fontId="5" fillId="0" borderId="18" xfId="0" applyNumberFormat="1" applyFont="1" applyBorder="1" applyAlignment="1" applyProtection="1">
      <alignment horizontal="right" vertical="center" wrapText="1"/>
      <protection hidden="1"/>
    </xf>
    <xf numFmtId="49" fontId="5" fillId="0" borderId="17" xfId="0" applyNumberFormat="1" applyFont="1" applyBorder="1" applyAlignment="1" applyProtection="1">
      <alignment horizontal="right" vertical="center" wrapText="1"/>
      <protection hidden="1"/>
    </xf>
    <xf numFmtId="0" fontId="5" fillId="7" borderId="22" xfId="0" applyFont="1" applyFill="1" applyBorder="1" applyAlignment="1" applyProtection="1">
      <alignment horizontal="center" wrapText="1"/>
      <protection locked="0"/>
    </xf>
    <xf numFmtId="0" fontId="5" fillId="7" borderId="32" xfId="0" applyFont="1" applyFill="1" applyBorder="1" applyAlignment="1" applyProtection="1">
      <alignment wrapText="1"/>
      <protection locked="0"/>
    </xf>
    <xf numFmtId="2" fontId="5" fillId="7" borderId="32" xfId="0" applyNumberFormat="1" applyFont="1" applyFill="1" applyBorder="1" applyAlignment="1" applyProtection="1">
      <alignment horizontal="center" wrapText="1"/>
      <protection locked="0"/>
    </xf>
    <xf numFmtId="0" fontId="5" fillId="7" borderId="30" xfId="0" applyFont="1" applyFill="1" applyBorder="1" applyAlignment="1" applyProtection="1">
      <alignment wrapText="1"/>
      <protection locked="0"/>
    </xf>
    <xf numFmtId="0" fontId="5" fillId="7" borderId="29" xfId="0" applyFont="1" applyFill="1" applyBorder="1" applyAlignment="1" applyProtection="1">
      <alignment wrapText="1"/>
      <protection locked="0"/>
    </xf>
    <xf numFmtId="0" fontId="5" fillId="7" borderId="32" xfId="0" applyFont="1" applyFill="1" applyBorder="1" applyAlignment="1" applyProtection="1">
      <alignment horizontal="left" wrapText="1"/>
      <protection locked="0"/>
    </xf>
    <xf numFmtId="0" fontId="5" fillId="7" borderId="30" xfId="0" applyFont="1" applyFill="1" applyBorder="1" applyProtection="1">
      <protection locked="0"/>
    </xf>
    <xf numFmtId="0" fontId="5" fillId="7" borderId="104" xfId="0" applyFont="1" applyFill="1" applyBorder="1" applyProtection="1">
      <protection locked="0"/>
    </xf>
    <xf numFmtId="0" fontId="5" fillId="7" borderId="105" xfId="0" applyFont="1" applyFill="1" applyBorder="1" applyProtection="1">
      <protection locked="0"/>
    </xf>
    <xf numFmtId="0" fontId="5" fillId="7" borderId="105" xfId="0" applyFont="1" applyFill="1" applyBorder="1" applyAlignment="1" applyProtection="1">
      <alignment horizontal="left" wrapText="1"/>
      <protection locked="0"/>
    </xf>
    <xf numFmtId="0" fontId="5" fillId="7" borderId="106" xfId="0" applyFont="1" applyFill="1" applyBorder="1" applyProtection="1">
      <protection locked="0"/>
    </xf>
    <xf numFmtId="49" fontId="32" fillId="11" borderId="42" xfId="3" applyNumberFormat="1" applyFont="1" applyFill="1" applyBorder="1" applyAlignment="1" applyProtection="1">
      <alignment vertical="center"/>
      <protection hidden="1"/>
    </xf>
    <xf numFmtId="0" fontId="0" fillId="0" borderId="85" xfId="0" applyBorder="1" applyProtection="1">
      <protection hidden="1"/>
    </xf>
    <xf numFmtId="0" fontId="29" fillId="0" borderId="41" xfId="3" applyFont="1" applyBorder="1" applyAlignment="1" applyProtection="1">
      <alignment vertical="center"/>
      <protection hidden="1"/>
    </xf>
    <xf numFmtId="49" fontId="29" fillId="0" borderId="39" xfId="3" applyNumberFormat="1" applyFont="1" applyBorder="1" applyAlignment="1" applyProtection="1">
      <alignment vertical="center"/>
      <protection hidden="1"/>
    </xf>
    <xf numFmtId="0" fontId="29" fillId="0" borderId="39" xfId="3" applyFont="1" applyBorder="1" applyAlignment="1" applyProtection="1">
      <alignment vertical="center"/>
      <protection hidden="1"/>
    </xf>
    <xf numFmtId="0" fontId="29" fillId="0" borderId="83" xfId="3" applyFont="1" applyBorder="1" applyAlignment="1" applyProtection="1">
      <alignment vertical="center"/>
      <protection hidden="1"/>
    </xf>
    <xf numFmtId="49" fontId="29" fillId="0" borderId="81" xfId="3" applyNumberFormat="1" applyFont="1" applyBorder="1" applyAlignment="1" applyProtection="1">
      <alignment vertical="center"/>
      <protection hidden="1"/>
    </xf>
    <xf numFmtId="0" fontId="9" fillId="0" borderId="0" xfId="0" applyFont="1" applyProtection="1">
      <protection hidden="1"/>
    </xf>
    <xf numFmtId="165" fontId="8" fillId="0" borderId="0" xfId="0" applyNumberFormat="1" applyFont="1" applyAlignment="1" applyProtection="1">
      <alignment horizontal="right"/>
      <protection hidden="1"/>
    </xf>
    <xf numFmtId="0" fontId="8" fillId="0" borderId="0" xfId="0" applyFont="1" applyAlignment="1" applyProtection="1">
      <protection hidden="1"/>
    </xf>
    <xf numFmtId="165" fontId="8" fillId="0" borderId="0" xfId="0" quotePrefix="1" applyNumberFormat="1" applyFont="1" applyAlignment="1" applyProtection="1">
      <protection hidden="1"/>
    </xf>
    <xf numFmtId="165" fontId="8" fillId="0" borderId="0" xfId="0" quotePrefix="1" applyNumberFormat="1" applyFont="1" applyAlignment="1" applyProtection="1">
      <alignment horizontal="right"/>
      <protection hidden="1"/>
    </xf>
    <xf numFmtId="165" fontId="8" fillId="0" borderId="0" xfId="0" applyNumberFormat="1" applyFont="1" applyAlignment="1" applyProtection="1">
      <protection hidden="1"/>
    </xf>
    <xf numFmtId="14" fontId="8" fillId="0" borderId="0" xfId="0" applyNumberFormat="1" applyFont="1" applyProtection="1">
      <protection hidden="1"/>
    </xf>
    <xf numFmtId="0" fontId="8" fillId="0" borderId="0" xfId="0" applyFont="1" applyProtection="1">
      <protection locked="0" hidden="1"/>
    </xf>
    <xf numFmtId="0" fontId="8" fillId="0" borderId="0" xfId="0" applyFont="1" applyAlignment="1" applyProtection="1">
      <protection locked="0" hidden="1"/>
    </xf>
    <xf numFmtId="49" fontId="5" fillId="0" borderId="0" xfId="0" applyNumberFormat="1" applyFont="1"/>
    <xf numFmtId="0" fontId="8" fillId="0" borderId="0" xfId="0" applyFont="1"/>
    <xf numFmtId="14" fontId="8" fillId="0" borderId="0" xfId="0" applyNumberFormat="1" applyFont="1" applyAlignment="1" applyProtection="1">
      <protection hidden="1"/>
    </xf>
    <xf numFmtId="14" fontId="8" fillId="0" borderId="0" xfId="0" applyNumberFormat="1" applyFont="1"/>
    <xf numFmtId="0" fontId="8" fillId="0" borderId="0" xfId="0" applyFont="1" applyAlignment="1">
      <alignment horizontal="right"/>
    </xf>
    <xf numFmtId="165" fontId="5" fillId="7" borderId="32" xfId="0" applyNumberFormat="1" applyFont="1" applyFill="1" applyBorder="1" applyAlignment="1" applyProtection="1">
      <alignment horizontal="center"/>
      <protection hidden="1"/>
    </xf>
    <xf numFmtId="0" fontId="5" fillId="7" borderId="32" xfId="0" applyFont="1" applyFill="1" applyBorder="1"/>
    <xf numFmtId="0" fontId="5" fillId="7" borderId="33" xfId="0" applyFont="1" applyFill="1" applyBorder="1"/>
    <xf numFmtId="165" fontId="5" fillId="7" borderId="51" xfId="0" applyNumberFormat="1" applyFont="1" applyFill="1" applyBorder="1" applyAlignment="1" applyProtection="1">
      <alignment horizontal="center"/>
      <protection hidden="1"/>
    </xf>
    <xf numFmtId="0" fontId="5" fillId="7" borderId="99" xfId="0" applyFont="1" applyFill="1" applyBorder="1"/>
    <xf numFmtId="0" fontId="5" fillId="7" borderId="100" xfId="0" applyFont="1" applyFill="1" applyBorder="1"/>
    <xf numFmtId="165" fontId="5" fillId="7" borderId="26" xfId="0" applyNumberFormat="1" applyFont="1" applyFill="1" applyBorder="1" applyAlignment="1" applyProtection="1">
      <alignment horizontal="center"/>
      <protection hidden="1"/>
    </xf>
    <xf numFmtId="0" fontId="5" fillId="7" borderId="26" xfId="0" applyFont="1" applyFill="1" applyBorder="1"/>
    <xf numFmtId="0" fontId="5" fillId="7" borderId="103" xfId="0" applyFont="1" applyFill="1" applyBorder="1"/>
    <xf numFmtId="0" fontId="5" fillId="0" borderId="61" xfId="0" applyNumberFormat="1" applyFont="1" applyBorder="1" applyAlignment="1" applyProtection="1">
      <alignment horizontal="center"/>
      <protection hidden="1"/>
    </xf>
    <xf numFmtId="0" fontId="5" fillId="7" borderId="7" xfId="0" quotePrefix="1" applyNumberFormat="1" applyFont="1" applyFill="1" applyBorder="1" applyAlignment="1" applyProtection="1">
      <alignment horizontal="center"/>
      <protection locked="0"/>
    </xf>
    <xf numFmtId="0" fontId="5" fillId="0" borderId="28" xfId="0" applyNumberFormat="1" applyFont="1" applyBorder="1" applyAlignment="1" applyProtection="1">
      <alignment horizontal="center"/>
      <protection hidden="1"/>
    </xf>
    <xf numFmtId="0" fontId="5" fillId="7" borderId="28" xfId="0" quotePrefix="1" applyNumberFormat="1" applyFont="1" applyFill="1" applyBorder="1" applyAlignment="1" applyProtection="1">
      <alignment horizontal="center"/>
      <protection locked="0"/>
    </xf>
    <xf numFmtId="0" fontId="5" fillId="0" borderId="28" xfId="0" applyNumberFormat="1" applyFont="1" applyBorder="1" applyAlignment="1" applyProtection="1">
      <alignment horizontal="center" shrinkToFit="1"/>
      <protection hidden="1"/>
    </xf>
    <xf numFmtId="0" fontId="5" fillId="0" borderId="57" xfId="0" applyNumberFormat="1" applyFont="1" applyBorder="1" applyAlignment="1" applyProtection="1">
      <alignment horizontal="center"/>
      <protection hidden="1"/>
    </xf>
    <xf numFmtId="0" fontId="5" fillId="7" borderId="58" xfId="0" quotePrefix="1" applyNumberFormat="1" applyFont="1" applyFill="1" applyBorder="1" applyAlignment="1" applyProtection="1">
      <alignment horizontal="center"/>
      <protection locked="0"/>
    </xf>
    <xf numFmtId="164" fontId="5" fillId="7" borderId="57" xfId="0" applyNumberFormat="1" applyFont="1" applyFill="1" applyBorder="1" applyAlignment="1" applyProtection="1">
      <alignment horizontal="center"/>
      <protection locked="0"/>
    </xf>
    <xf numFmtId="0" fontId="5" fillId="7" borderId="61" xfId="0" applyNumberFormat="1" applyFont="1" applyFill="1" applyBorder="1" applyAlignment="1" applyProtection="1">
      <alignment horizontal="center"/>
      <protection locked="0"/>
    </xf>
    <xf numFmtId="0" fontId="5" fillId="7" borderId="7" xfId="0" quotePrefix="1" applyNumberFormat="1" applyFont="1" applyFill="1" applyBorder="1" applyAlignment="1" applyProtection="1">
      <alignment horizontal="center"/>
      <protection hidden="1"/>
    </xf>
    <xf numFmtId="0" fontId="5" fillId="7" borderId="7" xfId="0" applyNumberFormat="1" applyFont="1" applyFill="1" applyBorder="1" applyAlignment="1" applyProtection="1">
      <alignment horizontal="center"/>
      <protection hidden="1"/>
    </xf>
    <xf numFmtId="0" fontId="5" fillId="0" borderId="7" xfId="0" applyNumberFormat="1" applyFont="1" applyBorder="1" applyAlignment="1" applyProtection="1">
      <alignment horizontal="center"/>
      <protection hidden="1"/>
    </xf>
    <xf numFmtId="0" fontId="5" fillId="7" borderId="28" xfId="0" applyNumberFormat="1" applyFont="1" applyFill="1" applyBorder="1" applyAlignment="1" applyProtection="1">
      <alignment horizontal="center"/>
      <protection locked="0"/>
    </xf>
    <xf numFmtId="0" fontId="5" fillId="7" borderId="28" xfId="0" quotePrefix="1" applyNumberFormat="1" applyFont="1" applyFill="1" applyBorder="1" applyAlignment="1" applyProtection="1">
      <alignment horizontal="center"/>
      <protection hidden="1"/>
    </xf>
    <xf numFmtId="0" fontId="5" fillId="7" borderId="28" xfId="0" applyNumberFormat="1" applyFont="1" applyFill="1" applyBorder="1" applyAlignment="1" applyProtection="1">
      <alignment horizontal="center"/>
      <protection hidden="1"/>
    </xf>
    <xf numFmtId="0" fontId="5" fillId="7" borderId="57" xfId="0" applyNumberFormat="1" applyFont="1" applyFill="1" applyBorder="1" applyAlignment="1" applyProtection="1">
      <alignment horizontal="center"/>
      <protection locked="0"/>
    </xf>
    <xf numFmtId="0" fontId="5" fillId="7" borderId="58" xfId="0" quotePrefix="1" applyNumberFormat="1" applyFont="1" applyFill="1" applyBorder="1" applyAlignment="1" applyProtection="1">
      <alignment horizontal="center"/>
      <protection hidden="1"/>
    </xf>
    <xf numFmtId="0" fontId="5" fillId="7" borderId="57" xfId="0" applyNumberFormat="1" applyFont="1" applyFill="1" applyBorder="1" applyAlignment="1" applyProtection="1">
      <alignment horizontal="center"/>
      <protection hidden="1"/>
    </xf>
    <xf numFmtId="0" fontId="5" fillId="0" borderId="58" xfId="0" applyNumberFormat="1" applyFont="1" applyBorder="1" applyAlignment="1" applyProtection="1">
      <alignment horizontal="center"/>
      <protection hidden="1"/>
    </xf>
    <xf numFmtId="165" fontId="5" fillId="7" borderId="62" xfId="0" applyNumberFormat="1" applyFont="1" applyFill="1" applyBorder="1" applyAlignment="1" applyProtection="1">
      <protection locked="0"/>
    </xf>
    <xf numFmtId="165" fontId="5" fillId="7" borderId="60" xfId="0" applyNumberFormat="1" applyFont="1" applyFill="1" applyBorder="1" applyAlignment="1" applyProtection="1">
      <protection locked="0"/>
    </xf>
    <xf numFmtId="165" fontId="5" fillId="7" borderId="59" xfId="0" applyNumberFormat="1" applyFont="1" applyFill="1" applyBorder="1" applyAlignment="1" applyProtection="1">
      <protection locked="0"/>
    </xf>
    <xf numFmtId="0" fontId="5" fillId="7" borderId="61" xfId="0" applyNumberFormat="1" applyFont="1" applyFill="1" applyBorder="1" applyAlignment="1" applyProtection="1">
      <alignment horizontal="center"/>
      <protection hidden="1"/>
    </xf>
    <xf numFmtId="164" fontId="5" fillId="0" borderId="57" xfId="0" applyNumberFormat="1" applyFont="1" applyBorder="1" applyAlignment="1" applyProtection="1">
      <alignment horizontal="center"/>
      <protection hidden="1"/>
    </xf>
    <xf numFmtId="0" fontId="5" fillId="0" borderId="30" xfId="0" applyNumberFormat="1" applyFont="1" applyBorder="1" applyAlignment="1" applyProtection="1">
      <alignment horizontal="center"/>
      <protection hidden="1"/>
    </xf>
    <xf numFmtId="0" fontId="5" fillId="0" borderId="30" xfId="0" applyNumberFormat="1" applyFont="1" applyBorder="1" applyAlignment="1" applyProtection="1">
      <alignment horizontal="center" shrinkToFit="1"/>
      <protection hidden="1"/>
    </xf>
    <xf numFmtId="0" fontId="5" fillId="0" borderId="56" xfId="0" applyNumberFormat="1" applyFont="1" applyBorder="1" applyAlignment="1" applyProtection="1">
      <alignment horizontal="center"/>
      <protection hidden="1"/>
    </xf>
    <xf numFmtId="0" fontId="36" fillId="0" borderId="40" xfId="0" applyFont="1" applyBorder="1" applyAlignment="1" applyProtection="1">
      <alignment vertical="center" wrapText="1"/>
      <protection hidden="1"/>
    </xf>
    <xf numFmtId="0" fontId="36" fillId="0" borderId="80" xfId="0" applyFont="1" applyBorder="1" applyAlignment="1" applyProtection="1">
      <alignment vertical="center" wrapText="1"/>
      <protection hidden="1"/>
    </xf>
    <xf numFmtId="0" fontId="29" fillId="0" borderId="40" xfId="3" applyFont="1" applyBorder="1" applyAlignment="1" applyProtection="1">
      <alignment vertical="center"/>
      <protection hidden="1"/>
    </xf>
    <xf numFmtId="0" fontId="36" fillId="0" borderId="9" xfId="0" applyFont="1" applyBorder="1" applyAlignment="1" applyProtection="1">
      <alignment vertical="center" wrapText="1"/>
      <protection hidden="1"/>
    </xf>
    <xf numFmtId="0" fontId="29" fillId="0" borderId="80" xfId="3" applyFont="1" applyBorder="1" applyAlignment="1" applyProtection="1">
      <alignment vertical="center" wrapText="1"/>
      <protection hidden="1"/>
    </xf>
    <xf numFmtId="0" fontId="36" fillId="0" borderId="82" xfId="0" applyFont="1" applyBorder="1" applyAlignment="1" applyProtection="1">
      <alignment vertical="center" wrapText="1"/>
      <protection hidden="1"/>
    </xf>
    <xf numFmtId="0" fontId="0" fillId="0" borderId="0" xfId="0" applyAlignment="1" applyProtection="1">
      <alignment horizontal="center"/>
      <protection hidden="1"/>
    </xf>
    <xf numFmtId="49" fontId="32" fillId="0" borderId="0" xfId="3" applyNumberFormat="1" applyFont="1" applyAlignment="1" applyProtection="1">
      <alignment vertical="center"/>
      <protection hidden="1"/>
    </xf>
    <xf numFmtId="0" fontId="8" fillId="0" borderId="0" xfId="0" applyFont="1" applyAlignment="1" applyProtection="1">
      <alignment horizontal="center"/>
      <protection hidden="1"/>
    </xf>
    <xf numFmtId="49" fontId="29" fillId="0" borderId="39" xfId="3" applyNumberFormat="1" applyFont="1" applyBorder="1" applyAlignment="1" applyProtection="1">
      <alignment horizontal="left" vertical="center"/>
      <protection hidden="1"/>
    </xf>
    <xf numFmtId="0" fontId="31" fillId="0" borderId="40" xfId="0" applyFont="1" applyBorder="1" applyProtection="1">
      <protection hidden="1"/>
    </xf>
    <xf numFmtId="0" fontId="37" fillId="0" borderId="40" xfId="0" applyFont="1" applyBorder="1" applyProtection="1">
      <protection hidden="1"/>
    </xf>
    <xf numFmtId="0" fontId="35" fillId="0" borderId="40" xfId="0" applyFont="1" applyBorder="1" applyAlignment="1" applyProtection="1">
      <alignment vertical="center"/>
      <protection hidden="1"/>
    </xf>
    <xf numFmtId="0" fontId="30" fillId="0" borderId="0" xfId="0" applyFont="1" applyAlignment="1" applyProtection="1">
      <alignment vertical="center" wrapText="1"/>
      <protection hidden="1"/>
    </xf>
    <xf numFmtId="0" fontId="29" fillId="0" borderId="39" xfId="3" applyFont="1" applyBorder="1" applyAlignment="1" applyProtection="1">
      <alignment horizontal="left" vertical="center"/>
      <protection hidden="1"/>
    </xf>
    <xf numFmtId="0" fontId="25" fillId="0" borderId="2" xfId="0" applyFont="1" applyBorder="1" applyAlignment="1" applyProtection="1">
      <alignment horizontal="justify"/>
      <protection hidden="1"/>
    </xf>
    <xf numFmtId="0" fontId="26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4" fillId="0" borderId="2" xfId="0" applyFont="1" applyBorder="1" applyAlignment="1" applyProtection="1">
      <alignment vertical="center"/>
      <protection hidden="1"/>
    </xf>
    <xf numFmtId="164" fontId="24" fillId="0" borderId="2" xfId="0" applyNumberFormat="1" applyFont="1" applyBorder="1" applyAlignment="1" applyProtection="1">
      <alignment vertical="center"/>
      <protection hidden="1"/>
    </xf>
    <xf numFmtId="2" fontId="24" fillId="0" borderId="2" xfId="0" applyNumberFormat="1" applyFont="1" applyBorder="1" applyAlignment="1" applyProtection="1">
      <alignment vertical="center"/>
      <protection hidden="1"/>
    </xf>
    <xf numFmtId="0" fontId="25" fillId="0" borderId="2" xfId="0" applyFont="1" applyBorder="1" applyProtection="1">
      <protection hidden="1"/>
    </xf>
    <xf numFmtId="2" fontId="0" fillId="0" borderId="2" xfId="0" applyNumberFormat="1" applyBorder="1" applyProtection="1">
      <protection hidden="1"/>
    </xf>
    <xf numFmtId="0" fontId="24" fillId="0" borderId="78" xfId="0" applyFont="1" applyBorder="1" applyProtection="1">
      <protection hidden="1"/>
    </xf>
    <xf numFmtId="0" fontId="9" fillId="0" borderId="78" xfId="0" applyFont="1" applyBorder="1" applyProtection="1">
      <protection hidden="1"/>
    </xf>
    <xf numFmtId="164" fontId="24" fillId="0" borderId="78" xfId="0" applyNumberFormat="1" applyFont="1" applyBorder="1" applyProtection="1">
      <protection hidden="1"/>
    </xf>
    <xf numFmtId="2" fontId="24" fillId="0" borderId="78" xfId="0" applyNumberFormat="1" applyFont="1" applyBorder="1" applyProtection="1">
      <protection hidden="1"/>
    </xf>
    <xf numFmtId="0" fontId="24" fillId="0" borderId="0" xfId="0" applyFont="1" applyProtection="1">
      <protection hidden="1"/>
    </xf>
    <xf numFmtId="0" fontId="24" fillId="0" borderId="8" xfId="0" applyFont="1" applyBorder="1" applyProtection="1">
      <protection hidden="1"/>
    </xf>
    <xf numFmtId="0" fontId="24" fillId="0" borderId="8" xfId="0" applyFont="1" applyBorder="1" applyAlignment="1" applyProtection="1">
      <alignment horizontal="center"/>
      <protection hidden="1"/>
    </xf>
    <xf numFmtId="165" fontId="0" fillId="0" borderId="8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164" fontId="5" fillId="0" borderId="75" xfId="0" applyNumberFormat="1" applyFont="1" applyBorder="1" applyAlignment="1" applyProtection="1">
      <alignment horizontal="center" vertical="center" wrapText="1"/>
      <protection hidden="1"/>
    </xf>
    <xf numFmtId="2" fontId="5" fillId="0" borderId="75" xfId="0" applyNumberFormat="1" applyFont="1" applyBorder="1" applyAlignment="1" applyProtection="1">
      <alignment horizontal="center" vertical="center" wrapText="1"/>
      <protection hidden="1"/>
    </xf>
    <xf numFmtId="164" fontId="5" fillId="0" borderId="74" xfId="0" applyNumberFormat="1" applyFont="1" applyBorder="1" applyAlignment="1" applyProtection="1">
      <alignment horizontal="center" vertical="center" wrapText="1"/>
      <protection hidden="1"/>
    </xf>
    <xf numFmtId="2" fontId="5" fillId="0" borderId="73" xfId="0" applyNumberFormat="1" applyFont="1" applyBorder="1" applyAlignment="1" applyProtection="1">
      <alignment horizontal="center" vertical="center"/>
      <protection hidden="1"/>
    </xf>
    <xf numFmtId="2" fontId="5" fillId="0" borderId="73" xfId="0" applyNumberFormat="1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vertical="center" wrapText="1"/>
      <protection hidden="1"/>
    </xf>
    <xf numFmtId="0" fontId="20" fillId="9" borderId="69" xfId="5" applyFont="1" applyFill="1" applyBorder="1" applyAlignment="1" applyProtection="1">
      <alignment horizontal="center" vertical="center" wrapText="1"/>
      <protection hidden="1"/>
    </xf>
    <xf numFmtId="165" fontId="9" fillId="8" borderId="69" xfId="0" applyNumberFormat="1" applyFont="1" applyFill="1" applyBorder="1" applyAlignment="1" applyProtection="1">
      <alignment horizontal="center" vertical="center"/>
      <protection hidden="1"/>
    </xf>
    <xf numFmtId="0" fontId="5" fillId="0" borderId="66" xfId="0" applyFont="1" applyBorder="1" applyAlignment="1" applyProtection="1">
      <alignment horizontal="center" vertical="center"/>
      <protection hidden="1"/>
    </xf>
    <xf numFmtId="165" fontId="5" fillId="0" borderId="10" xfId="0" applyNumberFormat="1" applyFont="1" applyBorder="1" applyAlignment="1" applyProtection="1">
      <alignment horizontal="center" vertical="center" wrapText="1"/>
      <protection hidden="1"/>
    </xf>
    <xf numFmtId="165" fontId="5" fillId="0" borderId="10" xfId="0" applyNumberFormat="1" applyFont="1" applyBorder="1" applyAlignment="1" applyProtection="1">
      <alignment horizontal="center" vertical="center"/>
      <protection hidden="1"/>
    </xf>
    <xf numFmtId="164" fontId="5" fillId="0" borderId="10" xfId="0" applyNumberFormat="1" applyFont="1" applyBorder="1" applyAlignment="1" applyProtection="1">
      <alignment horizontal="center" vertical="center" wrapText="1"/>
      <protection hidden="1"/>
    </xf>
    <xf numFmtId="164" fontId="5" fillId="0" borderId="65" xfId="0" applyNumberFormat="1" applyFont="1" applyBorder="1" applyAlignment="1" applyProtection="1">
      <alignment horizontal="center" vertical="center" wrapText="1"/>
      <protection hidden="1"/>
    </xf>
    <xf numFmtId="2" fontId="5" fillId="0" borderId="64" xfId="0" applyNumberFormat="1" applyFont="1" applyBorder="1" applyAlignment="1" applyProtection="1">
      <alignment horizontal="center" vertical="center" wrapText="1"/>
      <protection hidden="1"/>
    </xf>
    <xf numFmtId="164" fontId="5" fillId="0" borderId="64" xfId="0" applyNumberFormat="1" applyFont="1" applyBorder="1" applyAlignment="1" applyProtection="1">
      <alignment horizontal="center" vertical="center" wrapText="1"/>
      <protection hidden="1"/>
    </xf>
    <xf numFmtId="164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10" xfId="0" applyNumberFormat="1" applyFont="1" applyBorder="1" applyAlignment="1" applyProtection="1">
      <alignment horizontal="center" vertical="center" wrapText="1"/>
      <protection hidden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0" fontId="5" fillId="0" borderId="39" xfId="0" applyFont="1" applyBorder="1" applyAlignment="1" applyProtection="1">
      <alignment horizontal="center" vertical="center" wrapText="1"/>
      <protection hidden="1"/>
    </xf>
    <xf numFmtId="0" fontId="20" fillId="9" borderId="54" xfId="5" applyFont="1" applyFill="1" applyBorder="1" applyAlignment="1" applyProtection="1">
      <alignment horizontal="center" vertical="center" wrapText="1"/>
      <protection hidden="1"/>
    </xf>
    <xf numFmtId="165" fontId="9" fillId="8" borderId="54" xfId="0" applyNumberFormat="1" applyFont="1" applyFill="1" applyBorder="1" applyAlignment="1" applyProtection="1">
      <alignment horizontal="center" vertical="center"/>
      <protection hidden="1"/>
    </xf>
    <xf numFmtId="0" fontId="7" fillId="0" borderId="1" xfId="0" applyFont="1" applyBorder="1" applyProtection="1">
      <protection hidden="1"/>
    </xf>
    <xf numFmtId="49" fontId="7" fillId="0" borderId="0" xfId="0" applyNumberFormat="1" applyFont="1" applyProtection="1">
      <protection hidden="1"/>
    </xf>
    <xf numFmtId="0" fontId="19" fillId="0" borderId="0" xfId="0" applyFont="1" applyAlignment="1" applyProtection="1">
      <alignment horizontal="right"/>
      <protection hidden="1"/>
    </xf>
    <xf numFmtId="0" fontId="7" fillId="0" borderId="3" xfId="0" applyFont="1" applyBorder="1" applyProtection="1">
      <protection hidden="1"/>
    </xf>
    <xf numFmtId="0" fontId="7" fillId="0" borderId="108" xfId="0" applyFont="1" applyBorder="1" applyProtection="1">
      <protection hidden="1"/>
    </xf>
    <xf numFmtId="0" fontId="19" fillId="0" borderId="17" xfId="0" applyFont="1" applyBorder="1" applyAlignment="1" applyProtection="1">
      <alignment horizontal="right"/>
      <protection hidden="1"/>
    </xf>
    <xf numFmtId="0" fontId="19" fillId="0" borderId="93" xfId="0" applyFont="1" applyBorder="1" applyAlignment="1" applyProtection="1">
      <alignment horizontal="justify"/>
      <protection hidden="1"/>
    </xf>
    <xf numFmtId="0" fontId="19" fillId="0" borderId="94" xfId="0" applyFont="1" applyBorder="1" applyAlignment="1" applyProtection="1">
      <alignment horizontal="justify"/>
      <protection hidden="1"/>
    </xf>
    <xf numFmtId="0" fontId="5" fillId="0" borderId="74" xfId="0" applyFont="1" applyBorder="1" applyProtection="1">
      <protection hidden="1"/>
    </xf>
    <xf numFmtId="165" fontId="5" fillId="0" borderId="74" xfId="0" applyNumberFormat="1" applyFont="1" applyBorder="1" applyProtection="1">
      <protection hidden="1"/>
    </xf>
    <xf numFmtId="2" fontId="5" fillId="0" borderId="74" xfId="0" applyNumberFormat="1" applyFont="1" applyBorder="1" applyProtection="1">
      <protection hidden="1"/>
    </xf>
    <xf numFmtId="0" fontId="7" fillId="0" borderId="74" xfId="0" applyFont="1" applyBorder="1" applyProtection="1">
      <protection hidden="1"/>
    </xf>
    <xf numFmtId="165" fontId="7" fillId="0" borderId="74" xfId="0" applyNumberFormat="1" applyFont="1" applyBorder="1" applyProtection="1">
      <protection hidden="1"/>
    </xf>
    <xf numFmtId="164" fontId="7" fillId="0" borderId="74" xfId="0" applyNumberFormat="1" applyFont="1" applyBorder="1" applyProtection="1">
      <protection hidden="1"/>
    </xf>
    <xf numFmtId="2" fontId="7" fillId="0" borderId="74" xfId="0" applyNumberFormat="1" applyFont="1" applyBorder="1" applyProtection="1">
      <protection hidden="1"/>
    </xf>
    <xf numFmtId="0" fontId="7" fillId="0" borderId="95" xfId="0" applyFont="1" applyBorder="1" applyProtection="1">
      <protection hidden="1"/>
    </xf>
    <xf numFmtId="0" fontId="7" fillId="0" borderId="78" xfId="0" applyFont="1" applyBorder="1" applyProtection="1">
      <protection hidden="1"/>
    </xf>
    <xf numFmtId="165" fontId="7" fillId="0" borderId="78" xfId="0" applyNumberFormat="1" applyFont="1" applyBorder="1" applyProtection="1">
      <protection hidden="1"/>
    </xf>
    <xf numFmtId="2" fontId="7" fillId="0" borderId="78" xfId="0" applyNumberFormat="1" applyFont="1" applyBorder="1" applyProtection="1">
      <protection hidden="1"/>
    </xf>
    <xf numFmtId="164" fontId="7" fillId="0" borderId="78" xfId="0" applyNumberFormat="1" applyFont="1" applyBorder="1" applyProtection="1">
      <protection hidden="1"/>
    </xf>
    <xf numFmtId="0" fontId="5" fillId="0" borderId="74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5" fillId="0" borderId="77" xfId="0" applyFont="1" applyBorder="1" applyAlignment="1" applyProtection="1">
      <alignment horizontal="center" vertical="center"/>
      <protection hidden="1"/>
    </xf>
    <xf numFmtId="0" fontId="5" fillId="0" borderId="67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64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 wrapText="1"/>
      <protection hidden="1"/>
    </xf>
    <xf numFmtId="0" fontId="5" fillId="0" borderId="64" xfId="0" applyFont="1" applyBorder="1" applyAlignment="1" applyProtection="1">
      <alignment horizontal="center" vertical="center" wrapText="1"/>
      <protection hidden="1"/>
    </xf>
    <xf numFmtId="0" fontId="5" fillId="0" borderId="73" xfId="0" applyFont="1" applyBorder="1" applyAlignment="1" applyProtection="1">
      <alignment horizontal="center" vertical="center"/>
      <protection hidden="1"/>
    </xf>
    <xf numFmtId="0" fontId="5" fillId="0" borderId="71" xfId="0" applyFont="1" applyBorder="1" applyAlignment="1" applyProtection="1">
      <alignment horizontal="center" vertical="center" wrapText="1"/>
      <protection hidden="1"/>
    </xf>
    <xf numFmtId="0" fontId="5" fillId="0" borderId="63" xfId="0" applyFont="1" applyBorder="1" applyAlignment="1" applyProtection="1">
      <alignment horizontal="center" vertical="center" wrapText="1"/>
      <protection hidden="1"/>
    </xf>
    <xf numFmtId="1" fontId="21" fillId="0" borderId="70" xfId="0" applyNumberFormat="1" applyFont="1" applyBorder="1" applyAlignment="1" applyProtection="1">
      <alignment horizontal="center" vertical="center" wrapText="1"/>
      <protection hidden="1"/>
    </xf>
    <xf numFmtId="1" fontId="21" fillId="0" borderId="55" xfId="0" applyNumberFormat="1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2" fontId="5" fillId="0" borderId="74" xfId="0" applyNumberFormat="1" applyFont="1" applyBorder="1" applyAlignment="1" applyProtection="1">
      <alignment horizontal="center" vertical="center" wrapText="1"/>
      <protection hidden="1"/>
    </xf>
    <xf numFmtId="2" fontId="5" fillId="0" borderId="5" xfId="0" applyNumberFormat="1" applyFont="1" applyBorder="1" applyAlignment="1" applyProtection="1">
      <alignment horizontal="center" vertical="center" wrapText="1"/>
      <protection hidden="1"/>
    </xf>
    <xf numFmtId="164" fontId="5" fillId="0" borderId="74" xfId="0" applyNumberFormat="1" applyFont="1" applyBorder="1" applyAlignment="1" applyProtection="1">
      <alignment horizontal="center" vertical="center" wrapText="1"/>
      <protection hidden="1"/>
    </xf>
    <xf numFmtId="164" fontId="5" fillId="0" borderId="5" xfId="0" applyNumberFormat="1" applyFont="1" applyBorder="1" applyAlignment="1" applyProtection="1">
      <alignment horizontal="center" vertical="center" wrapText="1"/>
      <protection hidden="1"/>
    </xf>
    <xf numFmtId="0" fontId="5" fillId="0" borderId="74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2" fontId="5" fillId="0" borderId="73" xfId="0" applyNumberFormat="1" applyFont="1" applyBorder="1" applyAlignment="1" applyProtection="1">
      <alignment horizontal="center" vertical="center"/>
      <protection hidden="1"/>
    </xf>
    <xf numFmtId="2" fontId="5" fillId="0" borderId="73" xfId="0" applyNumberFormat="1" applyFont="1" applyBorder="1" applyAlignment="1" applyProtection="1">
      <alignment horizontal="center" vertical="center" wrapText="1"/>
      <protection hidden="1"/>
    </xf>
    <xf numFmtId="2" fontId="5" fillId="0" borderId="10" xfId="0" applyNumberFormat="1" applyFont="1" applyBorder="1" applyAlignment="1" applyProtection="1">
      <alignment horizontal="center" vertical="center" wrapText="1"/>
      <protection hidden="1"/>
    </xf>
    <xf numFmtId="0" fontId="5" fillId="0" borderId="73" xfId="0" applyFont="1" applyBorder="1" applyAlignment="1" applyProtection="1">
      <alignment horizontal="center" vertical="center" wrapText="1"/>
      <protection hidden="1"/>
    </xf>
    <xf numFmtId="0" fontId="5" fillId="0" borderId="72" xfId="0" applyFont="1" applyBorder="1" applyAlignment="1" applyProtection="1">
      <alignment horizontal="center" vertical="center" wrapText="1"/>
      <protection hidden="1"/>
    </xf>
    <xf numFmtId="1" fontId="9" fillId="10" borderId="69" xfId="0" applyNumberFormat="1" applyFont="1" applyFill="1" applyBorder="1" applyAlignment="1" applyProtection="1">
      <alignment horizontal="center" vertical="center"/>
      <protection hidden="1"/>
    </xf>
    <xf numFmtId="1" fontId="9" fillId="10" borderId="54" xfId="0" applyNumberFormat="1" applyFont="1" applyFill="1" applyBorder="1" applyAlignment="1" applyProtection="1">
      <alignment horizontal="center" vertical="center"/>
      <protection hidden="1"/>
    </xf>
    <xf numFmtId="1" fontId="21" fillId="0" borderId="69" xfId="0" applyNumberFormat="1" applyFont="1" applyBorder="1" applyAlignment="1" applyProtection="1">
      <alignment horizontal="center" vertical="center" wrapText="1"/>
      <protection hidden="1"/>
    </xf>
    <xf numFmtId="1" fontId="21" fillId="0" borderId="54" xfId="0" applyNumberFormat="1" applyFont="1" applyBorder="1" applyAlignment="1" applyProtection="1">
      <alignment horizontal="center" vertical="center" wrapText="1"/>
      <protection hidden="1"/>
    </xf>
    <xf numFmtId="0" fontId="9" fillId="0" borderId="69" xfId="0" applyFont="1" applyBorder="1" applyAlignment="1" applyProtection="1">
      <alignment horizontal="center" vertical="center" wrapText="1"/>
      <protection hidden="1"/>
    </xf>
    <xf numFmtId="0" fontId="9" fillId="0" borderId="54" xfId="0" applyFont="1" applyBorder="1" applyAlignment="1" applyProtection="1">
      <alignment horizontal="center" vertical="center"/>
      <protection hidden="1"/>
    </xf>
    <xf numFmtId="0" fontId="9" fillId="10" borderId="69" xfId="0" applyFont="1" applyFill="1" applyBorder="1" applyAlignment="1" applyProtection="1">
      <alignment horizontal="center" vertical="center" wrapText="1"/>
      <protection hidden="1"/>
    </xf>
    <xf numFmtId="0" fontId="9" fillId="10" borderId="54" xfId="0" applyFont="1" applyFill="1" applyBorder="1" applyAlignment="1" applyProtection="1">
      <alignment horizontal="center" vertical="center" wrapText="1"/>
      <protection hidden="1"/>
    </xf>
    <xf numFmtId="0" fontId="9" fillId="5" borderId="69" xfId="0" applyFont="1" applyFill="1" applyBorder="1" applyAlignment="1" applyProtection="1">
      <alignment horizontal="center" vertical="center" wrapText="1"/>
      <protection hidden="1"/>
    </xf>
    <xf numFmtId="0" fontId="9" fillId="5" borderId="54" xfId="0" applyFont="1" applyFill="1" applyBorder="1" applyAlignment="1" applyProtection="1">
      <alignment horizontal="center" vertical="center" wrapText="1"/>
      <protection hidden="1"/>
    </xf>
    <xf numFmtId="0" fontId="9" fillId="8" borderId="69" xfId="0" applyFont="1" applyFill="1" applyBorder="1" applyAlignment="1" applyProtection="1">
      <alignment horizontal="center" vertical="center" wrapText="1"/>
      <protection hidden="1"/>
    </xf>
    <xf numFmtId="0" fontId="9" fillId="8" borderId="54" xfId="0" applyFont="1" applyFill="1" applyBorder="1" applyAlignment="1" applyProtection="1">
      <alignment horizontal="center" vertical="center" wrapText="1"/>
      <protection hidden="1"/>
    </xf>
    <xf numFmtId="0" fontId="9" fillId="6" borderId="69" xfId="0" applyFont="1" applyFill="1" applyBorder="1" applyAlignment="1" applyProtection="1">
      <alignment horizontal="center" vertical="center" wrapText="1"/>
      <protection hidden="1"/>
    </xf>
    <xf numFmtId="0" fontId="9" fillId="6" borderId="54" xfId="0" applyFont="1" applyFill="1" applyBorder="1" applyAlignment="1" applyProtection="1">
      <alignment horizontal="center" vertical="center" wrapText="1"/>
      <protection hidden="1"/>
    </xf>
    <xf numFmtId="0" fontId="9" fillId="4" borderId="69" xfId="0" applyFont="1" applyFill="1" applyBorder="1" applyAlignment="1" applyProtection="1">
      <alignment horizontal="center" vertical="center" wrapText="1"/>
      <protection hidden="1"/>
    </xf>
    <xf numFmtId="0" fontId="9" fillId="4" borderId="54" xfId="0" applyFont="1" applyFill="1" applyBorder="1" applyAlignment="1" applyProtection="1">
      <alignment horizontal="center" vertical="center" wrapText="1"/>
      <protection hidden="1"/>
    </xf>
    <xf numFmtId="0" fontId="9" fillId="4" borderId="68" xfId="0" applyFont="1" applyFill="1" applyBorder="1" applyAlignment="1" applyProtection="1">
      <alignment horizontal="center" vertical="center" wrapText="1"/>
      <protection hidden="1"/>
    </xf>
    <xf numFmtId="0" fontId="9" fillId="4" borderId="53" xfId="0" applyFont="1" applyFill="1" applyBorder="1" applyAlignment="1" applyProtection="1">
      <alignment horizontal="center" vertic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alignment horizontal="center"/>
      <protection hidden="1"/>
    </xf>
    <xf numFmtId="0" fontId="5" fillId="0" borderId="30" xfId="0" applyFont="1" applyBorder="1" applyAlignment="1" applyProtection="1">
      <alignment horizontal="center" wrapText="1"/>
      <protection hidden="1"/>
    </xf>
    <xf numFmtId="0" fontId="5" fillId="0" borderId="29" xfId="0" applyFont="1" applyBorder="1" applyAlignment="1" applyProtection="1">
      <alignment horizontal="center" wrapText="1"/>
      <protection hidden="1"/>
    </xf>
    <xf numFmtId="0" fontId="5" fillId="0" borderId="25" xfId="0" applyFont="1" applyBorder="1" applyAlignment="1" applyProtection="1">
      <alignment horizontal="center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7" fillId="0" borderId="44" xfId="0" applyFont="1" applyBorder="1" applyAlignment="1" applyProtection="1">
      <alignment horizontal="center"/>
      <protection hidden="1"/>
    </xf>
    <xf numFmtId="0" fontId="7" fillId="0" borderId="43" xfId="0" applyFont="1" applyBorder="1" applyAlignment="1" applyProtection="1">
      <alignment horizontal="center"/>
      <protection hidden="1"/>
    </xf>
    <xf numFmtId="0" fontId="7" fillId="0" borderId="42" xfId="0" applyFont="1" applyBorder="1" applyAlignment="1" applyProtection="1">
      <alignment horizontal="center"/>
      <protection hidden="1"/>
    </xf>
    <xf numFmtId="0" fontId="5" fillId="0" borderId="38" xfId="0" applyFont="1" applyBorder="1" applyAlignment="1" applyProtection="1">
      <alignment horizontal="center"/>
      <protection hidden="1"/>
    </xf>
    <xf numFmtId="0" fontId="5" fillId="0" borderId="36" xfId="0" applyFont="1" applyBorder="1" applyAlignment="1" applyProtection="1">
      <alignment horizontal="center"/>
      <protection hidden="1"/>
    </xf>
    <xf numFmtId="0" fontId="5" fillId="0" borderId="37" xfId="0" applyFont="1" applyBorder="1" applyAlignment="1" applyProtection="1">
      <alignment horizontal="center"/>
      <protection hidden="1"/>
    </xf>
    <xf numFmtId="0" fontId="5" fillId="0" borderId="30" xfId="0" applyFont="1" applyBorder="1" applyAlignment="1" applyProtection="1">
      <alignment horizontal="center"/>
      <protection hidden="1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84" xfId="0" applyFont="1" applyBorder="1" applyAlignment="1" applyProtection="1">
      <alignment horizontal="center"/>
      <protection locked="0"/>
    </xf>
    <xf numFmtId="0" fontId="0" fillId="0" borderId="87" xfId="0" applyBorder="1" applyAlignment="1" applyProtection="1">
      <alignment horizontal="center"/>
      <protection hidden="1"/>
    </xf>
    <xf numFmtId="0" fontId="0" fillId="0" borderId="85" xfId="0" applyBorder="1" applyAlignment="1" applyProtection="1">
      <alignment horizontal="center"/>
      <protection hidden="1"/>
    </xf>
    <xf numFmtId="0" fontId="0" fillId="0" borderId="86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8" fillId="0" borderId="87" xfId="0" applyFont="1" applyBorder="1" applyAlignment="1" applyProtection="1">
      <alignment horizontal="center"/>
      <protection hidden="1"/>
    </xf>
    <xf numFmtId="0" fontId="28" fillId="0" borderId="85" xfId="0" applyFont="1" applyBorder="1" applyAlignment="1" applyProtection="1">
      <alignment horizontal="center"/>
      <protection hidden="1"/>
    </xf>
    <xf numFmtId="0" fontId="28" fillId="0" borderId="86" xfId="0" applyFont="1" applyBorder="1" applyAlignment="1" applyProtection="1">
      <alignment horizontal="center"/>
      <protection hidden="1"/>
    </xf>
    <xf numFmtId="0" fontId="28" fillId="0" borderId="20" xfId="0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center"/>
      <protection hidden="1"/>
    </xf>
    <xf numFmtId="0" fontId="28" fillId="0" borderId="18" xfId="0" applyFont="1" applyBorder="1" applyAlignment="1" applyProtection="1">
      <alignment horizontal="center"/>
      <protection hidden="1"/>
    </xf>
    <xf numFmtId="0" fontId="28" fillId="0" borderId="17" xfId="0" applyFont="1" applyBorder="1" applyAlignment="1" applyProtection="1">
      <alignment horizontal="center"/>
      <protection hidden="1"/>
    </xf>
    <xf numFmtId="0" fontId="28" fillId="0" borderId="16" xfId="0" applyFont="1" applyBorder="1" applyAlignment="1" applyProtection="1">
      <alignment horizontal="center"/>
      <protection hidden="1"/>
    </xf>
    <xf numFmtId="49" fontId="29" fillId="0" borderId="81" xfId="3" applyNumberFormat="1" applyFont="1" applyBorder="1" applyAlignment="1" applyProtection="1">
      <alignment horizontal="left" vertical="center"/>
      <protection locked="0"/>
    </xf>
    <xf numFmtId="49" fontId="29" fillId="0" borderId="80" xfId="3" applyNumberFormat="1" applyFont="1" applyBorder="1" applyAlignment="1" applyProtection="1">
      <alignment horizontal="left" vertical="center"/>
      <protection locked="0"/>
    </xf>
    <xf numFmtId="49" fontId="29" fillId="0" borderId="82" xfId="3" applyNumberFormat="1" applyFont="1" applyBorder="1" applyAlignment="1" applyProtection="1">
      <alignment horizontal="left" vertical="center"/>
      <protection locked="0"/>
    </xf>
    <xf numFmtId="49" fontId="32" fillId="11" borderId="44" xfId="3" applyNumberFormat="1" applyFont="1" applyFill="1" applyBorder="1" applyAlignment="1" applyProtection="1">
      <alignment horizontal="center" vertical="center"/>
      <protection hidden="1"/>
    </xf>
    <xf numFmtId="49" fontId="32" fillId="11" borderId="43" xfId="3" applyNumberFormat="1" applyFont="1" applyFill="1" applyBorder="1" applyAlignment="1" applyProtection="1">
      <alignment horizontal="center" vertical="center"/>
      <protection hidden="1"/>
    </xf>
    <xf numFmtId="49" fontId="32" fillId="11" borderId="42" xfId="3" applyNumberFormat="1" applyFont="1" applyFill="1" applyBorder="1" applyAlignment="1" applyProtection="1">
      <alignment horizontal="center" vertical="center"/>
      <protection hidden="1"/>
    </xf>
    <xf numFmtId="0" fontId="31" fillId="0" borderId="81" xfId="0" applyFont="1" applyBorder="1" applyAlignment="1" applyProtection="1">
      <alignment horizontal="center"/>
      <protection locked="0"/>
    </xf>
    <xf numFmtId="0" fontId="31" fillId="0" borderId="80" xfId="0" applyFont="1" applyBorder="1" applyAlignment="1" applyProtection="1">
      <alignment horizontal="center"/>
      <protection locked="0"/>
    </xf>
    <xf numFmtId="0" fontId="31" fillId="0" borderId="79" xfId="0" applyFont="1" applyBorder="1" applyAlignment="1" applyProtection="1">
      <alignment horizontal="center"/>
      <protection locked="0"/>
    </xf>
    <xf numFmtId="1" fontId="27" fillId="0" borderId="87" xfId="0" applyNumberFormat="1" applyFont="1" applyBorder="1" applyAlignment="1" applyProtection="1">
      <alignment horizontal="center" wrapText="1"/>
      <protection hidden="1"/>
    </xf>
    <xf numFmtId="1" fontId="27" fillId="0" borderId="85" xfId="0" applyNumberFormat="1" applyFont="1" applyBorder="1" applyAlignment="1" applyProtection="1">
      <alignment horizontal="center" wrapText="1"/>
      <protection hidden="1"/>
    </xf>
    <xf numFmtId="1" fontId="27" fillId="0" borderId="86" xfId="0" applyNumberFormat="1" applyFont="1" applyBorder="1" applyAlignment="1" applyProtection="1">
      <alignment horizontal="center" wrapText="1"/>
      <protection hidden="1"/>
    </xf>
    <xf numFmtId="1" fontId="27" fillId="0" borderId="20" xfId="0" applyNumberFormat="1" applyFont="1" applyBorder="1" applyAlignment="1" applyProtection="1">
      <alignment horizontal="center" wrapText="1"/>
      <protection hidden="1"/>
    </xf>
    <xf numFmtId="1" fontId="27" fillId="0" borderId="0" xfId="0" applyNumberFormat="1" applyFont="1" applyBorder="1" applyAlignment="1" applyProtection="1">
      <alignment horizontal="center" wrapText="1"/>
      <protection hidden="1"/>
    </xf>
    <xf numFmtId="1" fontId="27" fillId="0" borderId="19" xfId="0" applyNumberFormat="1" applyFont="1" applyBorder="1" applyAlignment="1" applyProtection="1">
      <alignment horizontal="center" wrapText="1"/>
      <protection hidden="1"/>
    </xf>
    <xf numFmtId="1" fontId="27" fillId="0" borderId="18" xfId="0" applyNumberFormat="1" applyFont="1" applyBorder="1" applyAlignment="1" applyProtection="1">
      <alignment horizontal="center" wrapText="1"/>
      <protection hidden="1"/>
    </xf>
    <xf numFmtId="1" fontId="27" fillId="0" borderId="17" xfId="0" applyNumberFormat="1" applyFont="1" applyBorder="1" applyAlignment="1" applyProtection="1">
      <alignment horizontal="center" wrapText="1"/>
      <protection hidden="1"/>
    </xf>
    <xf numFmtId="1" fontId="27" fillId="0" borderId="16" xfId="0" applyNumberFormat="1" applyFont="1" applyBorder="1" applyAlignment="1" applyProtection="1">
      <alignment horizontal="center" wrapText="1"/>
      <protection hidden="1"/>
    </xf>
    <xf numFmtId="1" fontId="5" fillId="0" borderId="73" xfId="0" applyNumberFormat="1" applyFont="1" applyBorder="1" applyAlignment="1" applyProtection="1">
      <alignment horizontal="center" vertical="center" wrapText="1"/>
      <protection hidden="1"/>
    </xf>
    <xf numFmtId="1" fontId="5" fillId="0" borderId="10" xfId="0" applyNumberFormat="1" applyFont="1" applyBorder="1" applyAlignment="1" applyProtection="1">
      <alignment horizontal="center" vertical="center" wrapText="1"/>
      <protection hidden="1"/>
    </xf>
    <xf numFmtId="0" fontId="5" fillId="0" borderId="85" xfId="0" applyFont="1" applyBorder="1" applyAlignment="1" applyProtection="1">
      <alignment horizontal="center" vertical="center"/>
      <protection hidden="1"/>
    </xf>
    <xf numFmtId="0" fontId="5" fillId="0" borderId="86" xfId="0" applyFont="1" applyBorder="1" applyAlignment="1" applyProtection="1">
      <alignment horizontal="center" vertical="center"/>
      <protection hidden="1"/>
    </xf>
    <xf numFmtId="0" fontId="5" fillId="0" borderId="8" xfId="0" applyFont="1" applyBorder="1" applyAlignment="1" applyProtection="1">
      <alignment horizontal="center" vertical="center"/>
      <protection hidden="1"/>
    </xf>
    <xf numFmtId="0" fontId="5" fillId="0" borderId="97" xfId="0" applyFont="1" applyBorder="1" applyAlignment="1" applyProtection="1">
      <alignment horizontal="center" vertical="center"/>
      <protection hidden="1"/>
    </xf>
    <xf numFmtId="49" fontId="33" fillId="11" borderId="44" xfId="0" applyNumberFormat="1" applyFont="1" applyFill="1" applyBorder="1" applyAlignment="1" applyProtection="1">
      <alignment horizontal="center"/>
      <protection hidden="1"/>
    </xf>
    <xf numFmtId="49" fontId="33" fillId="11" borderId="43" xfId="0" applyNumberFormat="1" applyFont="1" applyFill="1" applyBorder="1" applyAlignment="1" applyProtection="1">
      <alignment horizontal="center"/>
      <protection hidden="1"/>
    </xf>
    <xf numFmtId="49" fontId="33" fillId="11" borderId="42" xfId="0" applyNumberFormat="1" applyFont="1" applyFill="1" applyBorder="1" applyAlignment="1" applyProtection="1">
      <alignment horizontal="center"/>
      <protection hidden="1"/>
    </xf>
    <xf numFmtId="0" fontId="5" fillId="0" borderId="10" xfId="0" applyFont="1" applyBorder="1" applyAlignment="1" applyProtection="1">
      <alignment horizontal="center" vertical="center" wrapText="1"/>
      <protection hidden="1"/>
    </xf>
    <xf numFmtId="164" fontId="5" fillId="0" borderId="73" xfId="0" applyNumberFormat="1" applyFont="1" applyBorder="1" applyAlignment="1" applyProtection="1">
      <alignment horizontal="center" vertical="center" wrapText="1"/>
      <protection hidden="1"/>
    </xf>
    <xf numFmtId="164" fontId="5" fillId="0" borderId="10" xfId="0" applyNumberFormat="1" applyFont="1" applyBorder="1" applyAlignment="1" applyProtection="1">
      <alignment horizontal="center" vertical="center" wrapText="1"/>
      <protection hidden="1"/>
    </xf>
    <xf numFmtId="0" fontId="7" fillId="0" borderId="107" xfId="0" applyFont="1" applyBorder="1" applyAlignment="1" applyProtection="1">
      <alignment horizontal="center"/>
      <protection hidden="1"/>
    </xf>
    <xf numFmtId="0" fontId="7" fillId="0" borderId="50" xfId="0" applyFont="1" applyBorder="1" applyAlignment="1" applyProtection="1">
      <alignment horizontal="center"/>
      <protection hidden="1"/>
    </xf>
    <xf numFmtId="0" fontId="7" fillId="0" borderId="3" xfId="0" applyFont="1" applyBorder="1" applyAlignment="1" applyProtection="1">
      <alignment horizontal="center"/>
      <protection hidden="1"/>
    </xf>
    <xf numFmtId="0" fontId="7" fillId="0" borderId="19" xfId="0" applyFont="1" applyBorder="1" applyAlignment="1" applyProtection="1">
      <alignment horizontal="center"/>
      <protection hidden="1"/>
    </xf>
    <xf numFmtId="0" fontId="7" fillId="0" borderId="92" xfId="0" applyFont="1" applyBorder="1" applyAlignment="1" applyProtection="1">
      <alignment horizontal="center"/>
      <protection hidden="1"/>
    </xf>
    <xf numFmtId="0" fontId="7" fillId="0" borderId="16" xfId="0" applyFont="1" applyBorder="1" applyAlignment="1" applyProtection="1">
      <alignment horizontal="center"/>
      <protection hidden="1"/>
    </xf>
    <xf numFmtId="0" fontId="28" fillId="0" borderId="88" xfId="0" applyFont="1" applyBorder="1" applyAlignment="1" applyProtection="1">
      <alignment horizontal="center"/>
      <protection hidden="1"/>
    </xf>
    <xf numFmtId="0" fontId="28" fillId="0" borderId="89" xfId="0" applyFont="1" applyBorder="1" applyAlignment="1" applyProtection="1">
      <alignment horizontal="center"/>
      <protection hidden="1"/>
    </xf>
    <xf numFmtId="0" fontId="28" fillId="0" borderId="90" xfId="0" applyFont="1" applyBorder="1" applyAlignment="1" applyProtection="1">
      <alignment horizontal="center"/>
      <protection hidden="1"/>
    </xf>
    <xf numFmtId="0" fontId="5" fillId="0" borderId="96" xfId="0" applyFont="1" applyBorder="1" applyAlignment="1" applyProtection="1">
      <alignment horizontal="center" vertical="center"/>
      <protection hidden="1"/>
    </xf>
    <xf numFmtId="0" fontId="5" fillId="0" borderId="11" xfId="0" applyFont="1" applyBorder="1" applyAlignment="1" applyProtection="1">
      <alignment horizontal="center" vertical="center"/>
      <protection hidden="1"/>
    </xf>
    <xf numFmtId="0" fontId="3" fillId="0" borderId="2" xfId="1" applyFont="1" applyBorder="1" applyAlignment="1" applyProtection="1">
      <alignment horizontal="center" vertical="center" wrapText="1"/>
      <protection hidden="1"/>
    </xf>
    <xf numFmtId="0" fontId="3" fillId="0" borderId="3" xfId="1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4" fillId="0" borderId="0" xfId="3" applyFont="1" applyAlignment="1" applyProtection="1">
      <alignment horizontal="center"/>
      <protection hidden="1"/>
    </xf>
    <xf numFmtId="0" fontId="4" fillId="0" borderId="8" xfId="3" applyFont="1" applyBorder="1" applyAlignment="1" applyProtection="1">
      <alignment horizontal="center"/>
      <protection hidden="1"/>
    </xf>
  </cellXfs>
  <cellStyles count="7">
    <cellStyle name="Normal" xfId="0" builtinId="0"/>
    <cellStyle name="Normal 2" xfId="2" xr:uid="{C878D287-E41A-4DA9-9084-EAE88C75D4F2}"/>
    <cellStyle name="Normal 2 2" xfId="5" xr:uid="{9BAB5621-124B-4B2A-BBB2-D1119DD6E907}"/>
    <cellStyle name="Normal 3" xfId="3" xr:uid="{F902E845-D5C3-4AE2-B809-906DF7D78F44}"/>
    <cellStyle name="Normal 4" xfId="4" xr:uid="{5E7831DC-1F8B-40F7-A694-480B67909C91}"/>
    <cellStyle name="Normal_Master-PipeSpan-Stress-Defl" xfId="1" xr:uid="{10A449BF-1A0A-42D6-A0D8-59F7B827F705}"/>
    <cellStyle name="Normal_Pipe Rack" xfId="6" xr:uid="{EEEA93DD-0675-41F1-B5A8-9D361D0D1630}"/>
  </cellStyles>
  <dxfs count="60"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cid:image002.jpg@01CF5563.E3EC6F40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cid:image002.jpg@01CF5563.E3EC6F40" TargetMode="External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37</xdr:col>
      <xdr:colOff>142875</xdr:colOff>
      <xdr:row>0</xdr:row>
      <xdr:rowOff>114300</xdr:rowOff>
    </xdr:from>
    <xdr:ext cx="1549003" cy="566738"/>
    <xdr:pic>
      <xdr:nvPicPr>
        <xdr:cNvPr id="2" name="Picture 1" descr="petrofac logo_clr">
          <a:extLst>
            <a:ext uri="{FF2B5EF4-FFF2-40B4-BE49-F238E27FC236}">
              <a16:creationId xmlns:a16="http://schemas.microsoft.com/office/drawing/2014/main" id="{824C7897-755F-4AA6-A0D5-B93A1EFB655F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21075" y="114300"/>
          <a:ext cx="1549003" cy="566738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0</xdr:col>
      <xdr:colOff>982273</xdr:colOff>
      <xdr:row>0</xdr:row>
      <xdr:rowOff>28974</xdr:rowOff>
    </xdr:from>
    <xdr:ext cx="735235" cy="735235"/>
    <xdr:pic>
      <xdr:nvPicPr>
        <xdr:cNvPr id="3" name="Picture 2">
          <a:extLst>
            <a:ext uri="{FF2B5EF4-FFF2-40B4-BE49-F238E27FC236}">
              <a16:creationId xmlns:a16="http://schemas.microsoft.com/office/drawing/2014/main" id="{EEE945D7-D40E-4D76-82BA-0837A387F4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273" y="28974"/>
          <a:ext cx="735235" cy="7352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38100</xdr:colOff>
      <xdr:row>0</xdr:row>
      <xdr:rowOff>66675</xdr:rowOff>
    </xdr:from>
    <xdr:to>
      <xdr:col>19</xdr:col>
      <xdr:colOff>523876</xdr:colOff>
      <xdr:row>3</xdr:row>
      <xdr:rowOff>133350</xdr:rowOff>
    </xdr:to>
    <xdr:pic>
      <xdr:nvPicPr>
        <xdr:cNvPr id="2" name="Picture 1" descr="petrofac logo_clr">
          <a:extLst>
            <a:ext uri="{FF2B5EF4-FFF2-40B4-BE49-F238E27FC236}">
              <a16:creationId xmlns:a16="http://schemas.microsoft.com/office/drawing/2014/main" id="{FBC882AA-13CC-491B-A29C-B2D159215644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0" y="66675"/>
          <a:ext cx="1590676" cy="6667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533400</xdr:colOff>
      <xdr:row>0</xdr:row>
      <xdr:rowOff>19050</xdr:rowOff>
    </xdr:from>
    <xdr:to>
      <xdr:col>0</xdr:col>
      <xdr:colOff>1292352</xdr:colOff>
      <xdr:row>3</xdr:row>
      <xdr:rowOff>177927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B7702A9-D71C-4B05-BE93-65467DBCD6C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9050"/>
          <a:ext cx="758952" cy="758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4071D-5CD6-4CE8-A92E-973D766E8F20}">
  <sheetPr codeName="Sheet06"/>
  <dimension ref="A1"/>
  <sheetViews>
    <sheetView workbookViewId="0">
      <selection activeCell="A9" sqref="A9"/>
    </sheetView>
  </sheetViews>
  <sheetFormatPr defaultRowHeight="15" x14ac:dyDescent="0.25"/>
  <sheetData/>
  <sheetProtection algorithmName="SHA-512" hashValue="GE6gq60qhULi3i1NQGIRGZ9rPZRNU4rhvVKCxiqEFdUDr/hiuNTD6M7FNDBxbjCGu07Gv4ioo2Xpz6spy7nIyg==" saltValue="WZ5tfrvUCGtkz2leJZWrm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AD2B1-BCC6-48B7-A7BB-5BCD7B4897E1}">
  <sheetPr codeName="Sheet01">
    <pageSetUpPr fitToPage="1"/>
  </sheetPr>
  <dimension ref="A1:CN112"/>
  <sheetViews>
    <sheetView tabSelected="1" zoomScaleNormal="100" workbookViewId="0">
      <selection activeCell="A9" sqref="A9"/>
    </sheetView>
  </sheetViews>
  <sheetFormatPr defaultColWidth="0" defaultRowHeight="15" x14ac:dyDescent="0.25"/>
  <cols>
    <col min="1" max="1" width="18.85546875" style="102" customWidth="1"/>
    <col min="2" max="2" width="18.85546875" style="102" hidden="1" customWidth="1"/>
    <col min="3" max="3" width="22.28515625" style="110" customWidth="1"/>
    <col min="4" max="4" width="6.7109375" style="102" customWidth="1"/>
    <col min="5" max="5" width="4.7109375" style="102" customWidth="1"/>
    <col min="6" max="6" width="6.7109375" style="106" customWidth="1"/>
    <col min="7" max="7" width="4.7109375" style="106" customWidth="1"/>
    <col min="8" max="8" width="6.7109375" style="107" customWidth="1"/>
    <col min="9" max="11" width="7.42578125" style="102" customWidth="1"/>
    <col min="12" max="12" width="5.28515625" style="102" customWidth="1"/>
    <col min="13" max="17" width="7.42578125" style="102" customWidth="1"/>
    <col min="18" max="18" width="8.7109375" style="107" customWidth="1"/>
    <col min="19" max="19" width="8.7109375" style="107" hidden="1" customWidth="1"/>
    <col min="20" max="20" width="6.7109375" style="112" customWidth="1"/>
    <col min="21" max="21" width="6.7109375" style="112" hidden="1" customWidth="1"/>
    <col min="22" max="22" width="8.7109375" style="107" customWidth="1"/>
    <col min="23" max="23" width="8.7109375" style="107" hidden="1" customWidth="1"/>
    <col min="24" max="24" width="8.7109375" style="107" customWidth="1"/>
    <col min="25" max="25" width="8.7109375" style="107" hidden="1" customWidth="1"/>
    <col min="26" max="26" width="7.42578125" style="102" customWidth="1"/>
    <col min="27" max="27" width="7.42578125" style="111" customWidth="1"/>
    <col min="28" max="30" width="7.42578125" style="102" customWidth="1"/>
    <col min="31" max="31" width="7.42578125" style="111" customWidth="1"/>
    <col min="32" max="33" width="7.42578125" style="102" customWidth="1"/>
    <col min="34" max="34" width="6.7109375" style="112" customWidth="1"/>
    <col min="35" max="35" width="6.7109375" style="112" hidden="1" customWidth="1"/>
    <col min="36" max="36" width="6.7109375" style="112" customWidth="1"/>
    <col min="37" max="37" width="6.7109375" style="112" hidden="1" customWidth="1"/>
    <col min="38" max="38" width="6.7109375" style="112" customWidth="1"/>
    <col min="39" max="39" width="6.7109375" style="112" hidden="1" customWidth="1"/>
    <col min="40" max="42" width="6.7109375" style="102" customWidth="1"/>
    <col min="43" max="43" width="7.28515625" style="102" customWidth="1"/>
    <col min="44" max="44" width="1" style="111" customWidth="1"/>
    <col min="45" max="45" width="7.42578125" style="102" hidden="1" customWidth="1"/>
    <col min="46" max="46" width="6.7109375" style="110" hidden="1" customWidth="1"/>
    <col min="47" max="47" width="6.7109375" style="102" hidden="1" customWidth="1"/>
    <col min="48" max="49" width="6.7109375" style="109" hidden="1" customWidth="1"/>
    <col min="50" max="50" width="6.7109375" style="108" hidden="1" customWidth="1"/>
    <col min="51" max="52" width="6.7109375" style="102" hidden="1" customWidth="1"/>
    <col min="53" max="53" width="6.7109375" style="107" hidden="1" customWidth="1"/>
    <col min="54" max="55" width="6.7109375" style="102" hidden="1" customWidth="1"/>
    <col min="56" max="64" width="6.7109375" style="107" hidden="1" customWidth="1"/>
    <col min="65" max="65" width="6.7109375" style="106" hidden="1" customWidth="1"/>
    <col min="66" max="69" width="6.7109375" style="102" hidden="1" customWidth="1"/>
    <col min="70" max="74" width="6.7109375" style="105" hidden="1" customWidth="1"/>
    <col min="75" max="79" width="6.7109375" style="104" hidden="1" customWidth="1"/>
    <col min="80" max="84" width="6.7109375" style="103" hidden="1" customWidth="1"/>
    <col min="85" max="91" width="9.140625" style="102" hidden="1" customWidth="1"/>
    <col min="92" max="92" width="0" style="102" hidden="1" customWidth="1"/>
    <col min="93" max="16384" width="9.140625" style="102" hidden="1"/>
  </cols>
  <sheetData>
    <row r="1" spans="1:92" s="3" customFormat="1" ht="15.75" customHeight="1" x14ac:dyDescent="0.25">
      <c r="A1" s="504"/>
      <c r="B1" s="505"/>
      <c r="C1" s="506"/>
      <c r="D1" s="516" t="s">
        <v>263</v>
      </c>
      <c r="E1" s="517"/>
      <c r="F1" s="517"/>
      <c r="G1" s="517"/>
      <c r="H1" s="517"/>
      <c r="I1" s="517"/>
      <c r="J1" s="517"/>
      <c r="K1" s="517"/>
      <c r="L1" s="517"/>
      <c r="M1" s="517"/>
      <c r="N1" s="517"/>
      <c r="O1" s="517"/>
      <c r="P1" s="517"/>
      <c r="Q1" s="517"/>
      <c r="R1" s="517"/>
      <c r="S1" s="517"/>
      <c r="T1" s="517"/>
      <c r="U1" s="517"/>
      <c r="V1" s="517"/>
      <c r="W1" s="517"/>
      <c r="X1" s="517"/>
      <c r="Y1" s="517"/>
      <c r="Z1" s="517"/>
      <c r="AA1" s="517"/>
      <c r="AB1" s="517"/>
      <c r="AC1" s="517"/>
      <c r="AD1" s="517"/>
      <c r="AE1" s="517"/>
      <c r="AF1" s="517"/>
      <c r="AG1" s="517"/>
      <c r="AH1" s="518"/>
      <c r="AI1" s="304"/>
      <c r="AJ1" s="495"/>
      <c r="AK1" s="496"/>
      <c r="AL1" s="496"/>
      <c r="AM1" s="496"/>
      <c r="AN1" s="496"/>
      <c r="AO1" s="496"/>
      <c r="AP1" s="496"/>
      <c r="AQ1" s="497"/>
      <c r="AR1" s="249"/>
      <c r="AS1" s="368"/>
      <c r="AT1" s="369"/>
      <c r="AU1" s="367"/>
      <c r="AV1" s="367"/>
      <c r="AY1" s="192"/>
      <c r="AZ1" s="305"/>
      <c r="BA1" s="305"/>
      <c r="BF1" s="113"/>
      <c r="BG1" s="113"/>
      <c r="BH1" s="113"/>
      <c r="BI1" s="113"/>
      <c r="BJ1" s="113"/>
      <c r="BK1" s="113"/>
      <c r="BL1" s="113"/>
      <c r="BM1" s="113"/>
      <c r="BN1" s="116"/>
    </row>
    <row r="2" spans="1:92" s="3" customFormat="1" ht="15.75" customHeight="1" x14ac:dyDescent="0.25">
      <c r="A2" s="507"/>
      <c r="B2" s="508"/>
      <c r="C2" s="509"/>
      <c r="D2" s="306" t="s">
        <v>262</v>
      </c>
      <c r="E2" s="363"/>
      <c r="F2" s="361"/>
      <c r="G2" s="361"/>
      <c r="H2" s="364"/>
      <c r="I2" s="370" t="s">
        <v>333</v>
      </c>
      <c r="J2" s="371"/>
      <c r="K2" s="371"/>
      <c r="L2" s="372"/>
      <c r="M2" s="361"/>
      <c r="N2" s="361"/>
      <c r="O2" s="373" t="s">
        <v>311</v>
      </c>
      <c r="P2" s="361"/>
      <c r="Q2" s="361"/>
      <c r="R2" s="361"/>
      <c r="S2" s="361"/>
      <c r="T2" s="361"/>
      <c r="U2" s="361"/>
      <c r="V2" s="361"/>
      <c r="W2" s="361"/>
      <c r="X2" s="361"/>
      <c r="Y2" s="361"/>
      <c r="Z2" s="361"/>
      <c r="AA2" s="361"/>
      <c r="AB2" s="361"/>
      <c r="AC2" s="361"/>
      <c r="AD2" s="364"/>
      <c r="AE2" s="307" t="s">
        <v>261</v>
      </c>
      <c r="AF2" s="361"/>
      <c r="AG2" s="492"/>
      <c r="AH2" s="493"/>
      <c r="AI2" s="494"/>
      <c r="AJ2" s="498"/>
      <c r="AK2" s="499"/>
      <c r="AL2" s="499"/>
      <c r="AM2" s="499"/>
      <c r="AN2" s="499"/>
      <c r="AO2" s="499"/>
      <c r="AP2" s="499"/>
      <c r="AQ2" s="500"/>
      <c r="AR2" s="249"/>
      <c r="AS2" s="374"/>
      <c r="AT2" s="369"/>
      <c r="AU2" s="367"/>
      <c r="AV2" s="367"/>
      <c r="AY2" s="190"/>
      <c r="BF2" s="113"/>
      <c r="BG2" s="113"/>
      <c r="BH2" s="113"/>
      <c r="BI2" s="113"/>
      <c r="BJ2" s="113"/>
      <c r="BK2" s="113"/>
      <c r="BL2" s="113"/>
      <c r="BM2" s="113"/>
      <c r="BN2" s="116"/>
    </row>
    <row r="3" spans="1:92" s="3" customFormat="1" ht="15.75" customHeight="1" x14ac:dyDescent="0.25">
      <c r="A3" s="507"/>
      <c r="B3" s="508"/>
      <c r="C3" s="509"/>
      <c r="D3" s="306" t="s">
        <v>260</v>
      </c>
      <c r="E3" s="363"/>
      <c r="F3" s="361"/>
      <c r="G3" s="361"/>
      <c r="H3" s="364"/>
      <c r="I3" s="375" t="s">
        <v>259</v>
      </c>
      <c r="J3" s="371"/>
      <c r="K3" s="371"/>
      <c r="L3" s="372"/>
      <c r="M3" s="361"/>
      <c r="N3" s="361"/>
      <c r="O3" s="361"/>
      <c r="P3" s="361"/>
      <c r="Q3" s="361"/>
      <c r="R3" s="361"/>
      <c r="S3" s="361"/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4"/>
      <c r="AE3" s="308" t="s">
        <v>258</v>
      </c>
      <c r="AF3" s="361"/>
      <c r="AG3" s="492"/>
      <c r="AH3" s="493"/>
      <c r="AI3" s="494"/>
      <c r="AJ3" s="498"/>
      <c r="AK3" s="499"/>
      <c r="AL3" s="499"/>
      <c r="AM3" s="499"/>
      <c r="AN3" s="499"/>
      <c r="AO3" s="499"/>
      <c r="AP3" s="499"/>
      <c r="AQ3" s="500"/>
      <c r="AR3" s="249"/>
      <c r="AS3" s="249">
        <v>45</v>
      </c>
      <c r="AT3" s="249">
        <v>46</v>
      </c>
      <c r="AU3" s="249">
        <v>47</v>
      </c>
      <c r="AV3" s="369">
        <v>48</v>
      </c>
      <c r="AW3" s="31">
        <f t="shared" ref="AW3:CF3" si="0">AV3+1</f>
        <v>49</v>
      </c>
      <c r="AX3" s="31">
        <f t="shared" si="0"/>
        <v>50</v>
      </c>
      <c r="AY3" s="31">
        <f t="shared" si="0"/>
        <v>51</v>
      </c>
      <c r="AZ3" s="31">
        <f t="shared" si="0"/>
        <v>52</v>
      </c>
      <c r="BA3" s="31">
        <f t="shared" si="0"/>
        <v>53</v>
      </c>
      <c r="BB3" s="31">
        <f t="shared" si="0"/>
        <v>54</v>
      </c>
      <c r="BC3" s="31">
        <f t="shared" si="0"/>
        <v>55</v>
      </c>
      <c r="BD3" s="31">
        <f t="shared" si="0"/>
        <v>56</v>
      </c>
      <c r="BE3" s="31">
        <f t="shared" si="0"/>
        <v>57</v>
      </c>
      <c r="BF3" s="31">
        <f t="shared" si="0"/>
        <v>58</v>
      </c>
      <c r="BG3" s="31">
        <f t="shared" si="0"/>
        <v>59</v>
      </c>
      <c r="BH3" s="31">
        <f t="shared" si="0"/>
        <v>60</v>
      </c>
      <c r="BI3" s="31">
        <f t="shared" si="0"/>
        <v>61</v>
      </c>
      <c r="BJ3" s="31">
        <f t="shared" si="0"/>
        <v>62</v>
      </c>
      <c r="BK3" s="31">
        <f t="shared" si="0"/>
        <v>63</v>
      </c>
      <c r="BL3" s="31">
        <f t="shared" si="0"/>
        <v>64</v>
      </c>
      <c r="BM3" s="31">
        <f t="shared" si="0"/>
        <v>65</v>
      </c>
      <c r="BN3" s="31">
        <f t="shared" si="0"/>
        <v>66</v>
      </c>
      <c r="BO3" s="31">
        <f t="shared" si="0"/>
        <v>67</v>
      </c>
      <c r="BP3" s="31">
        <f t="shared" si="0"/>
        <v>68</v>
      </c>
      <c r="BQ3" s="31">
        <f t="shared" si="0"/>
        <v>69</v>
      </c>
      <c r="BR3" s="31">
        <f t="shared" si="0"/>
        <v>70</v>
      </c>
      <c r="BS3" s="31">
        <f t="shared" si="0"/>
        <v>71</v>
      </c>
      <c r="BT3" s="31">
        <f t="shared" si="0"/>
        <v>72</v>
      </c>
      <c r="BU3" s="31">
        <f t="shared" si="0"/>
        <v>73</v>
      </c>
      <c r="BV3" s="31">
        <f t="shared" si="0"/>
        <v>74</v>
      </c>
      <c r="BW3" s="31">
        <f t="shared" si="0"/>
        <v>75</v>
      </c>
      <c r="BX3" s="31">
        <f t="shared" si="0"/>
        <v>76</v>
      </c>
      <c r="BY3" s="31">
        <f t="shared" si="0"/>
        <v>77</v>
      </c>
      <c r="BZ3" s="31">
        <f t="shared" si="0"/>
        <v>78</v>
      </c>
      <c r="CA3" s="31">
        <f t="shared" si="0"/>
        <v>79</v>
      </c>
      <c r="CB3" s="31">
        <f t="shared" si="0"/>
        <v>80</v>
      </c>
      <c r="CC3" s="31">
        <f t="shared" si="0"/>
        <v>81</v>
      </c>
      <c r="CD3" s="31">
        <f t="shared" si="0"/>
        <v>82</v>
      </c>
      <c r="CE3" s="31">
        <f t="shared" si="0"/>
        <v>83</v>
      </c>
      <c r="CF3" s="31">
        <f t="shared" si="0"/>
        <v>84</v>
      </c>
    </row>
    <row r="4" spans="1:92" s="3" customFormat="1" ht="15.75" customHeight="1" thickBot="1" x14ac:dyDescent="0.3">
      <c r="A4" s="510"/>
      <c r="B4" s="511"/>
      <c r="C4" s="512"/>
      <c r="D4" s="309" t="s">
        <v>257</v>
      </c>
      <c r="E4" s="365"/>
      <c r="F4" s="362"/>
      <c r="G4" s="362"/>
      <c r="H4" s="366"/>
      <c r="I4" s="513" t="s">
        <v>332</v>
      </c>
      <c r="J4" s="514"/>
      <c r="K4" s="514"/>
      <c r="L4" s="514"/>
      <c r="M4" s="514"/>
      <c r="N4" s="514"/>
      <c r="O4" s="514"/>
      <c r="P4" s="514"/>
      <c r="Q4" s="514"/>
      <c r="R4" s="514"/>
      <c r="S4" s="514"/>
      <c r="T4" s="514"/>
      <c r="U4" s="514"/>
      <c r="V4" s="514"/>
      <c r="W4" s="514"/>
      <c r="X4" s="514"/>
      <c r="Y4" s="514"/>
      <c r="Z4" s="514"/>
      <c r="AA4" s="514"/>
      <c r="AB4" s="514"/>
      <c r="AC4" s="514"/>
      <c r="AD4" s="515"/>
      <c r="AE4" s="310" t="s">
        <v>256</v>
      </c>
      <c r="AF4" s="362"/>
      <c r="AG4" s="519"/>
      <c r="AH4" s="520"/>
      <c r="AI4" s="521"/>
      <c r="AJ4" s="501"/>
      <c r="AK4" s="502"/>
      <c r="AL4" s="502"/>
      <c r="AM4" s="502"/>
      <c r="AN4" s="502"/>
      <c r="AO4" s="502"/>
      <c r="AP4" s="502"/>
      <c r="AQ4" s="503"/>
      <c r="AR4" s="249"/>
      <c r="AS4" s="191"/>
      <c r="AT4" s="369"/>
      <c r="AU4" s="367"/>
      <c r="AV4" s="367"/>
      <c r="AY4" s="190"/>
      <c r="BF4" s="113"/>
      <c r="BG4" s="113"/>
      <c r="BH4" s="113"/>
      <c r="BI4" s="113"/>
      <c r="BJ4" s="113"/>
      <c r="BK4" s="113"/>
      <c r="BL4" s="113"/>
      <c r="BM4" s="113"/>
      <c r="BN4" s="116"/>
    </row>
    <row r="5" spans="1:92" s="3" customFormat="1" ht="15.75" hidden="1" customHeight="1" x14ac:dyDescent="0.25">
      <c r="A5" s="376"/>
      <c r="B5" s="376"/>
      <c r="C5" s="377"/>
      <c r="D5" s="378"/>
      <c r="E5" s="378"/>
      <c r="F5" s="378"/>
      <c r="G5" s="378"/>
      <c r="H5" s="378"/>
      <c r="I5" s="379"/>
      <c r="J5" s="379"/>
      <c r="K5" s="378"/>
      <c r="L5" s="378"/>
      <c r="M5" s="379"/>
      <c r="N5" s="379"/>
      <c r="O5" s="379"/>
      <c r="P5" s="379"/>
      <c r="Q5" s="379"/>
      <c r="R5" s="380"/>
      <c r="S5" s="380"/>
      <c r="T5" s="381"/>
      <c r="U5" s="381"/>
      <c r="V5" s="380"/>
      <c r="W5" s="380"/>
      <c r="X5" s="380"/>
      <c r="Y5" s="380"/>
      <c r="Z5" s="380"/>
      <c r="AA5" s="379"/>
      <c r="AB5" s="379"/>
      <c r="AC5" s="379"/>
      <c r="AD5" s="379"/>
      <c r="AE5" s="64"/>
      <c r="AF5" s="379"/>
      <c r="AG5" s="382"/>
      <c r="AH5" s="378"/>
      <c r="AI5" s="383"/>
      <c r="AJ5" s="383"/>
      <c r="AK5" s="383"/>
      <c r="AL5" s="383"/>
      <c r="AM5" s="383"/>
      <c r="AN5" s="383"/>
      <c r="AO5" s="378"/>
      <c r="AP5" s="378"/>
      <c r="AQ5" s="378"/>
      <c r="AR5" s="64"/>
      <c r="AS5" s="190"/>
      <c r="AT5" s="31"/>
      <c r="AY5" s="190"/>
      <c r="BF5" s="113"/>
      <c r="BG5" s="113"/>
      <c r="BH5" s="113"/>
      <c r="BI5" s="113"/>
      <c r="BJ5" s="113"/>
      <c r="BK5" s="113"/>
      <c r="BL5" s="113"/>
      <c r="BM5" s="113"/>
      <c r="BN5" s="116"/>
    </row>
    <row r="6" spans="1:92" s="3" customFormat="1" ht="18.75" hidden="1" customHeight="1" thickBot="1" x14ac:dyDescent="0.35">
      <c r="A6" s="384"/>
      <c r="B6" s="384"/>
      <c r="C6" s="385"/>
      <c r="D6" s="384"/>
      <c r="E6" s="384"/>
      <c r="F6" s="384"/>
      <c r="G6" s="384"/>
      <c r="H6" s="384"/>
      <c r="I6" s="384"/>
      <c r="J6" s="384"/>
      <c r="K6" s="384"/>
      <c r="L6" s="384"/>
      <c r="M6" s="384"/>
      <c r="N6" s="384"/>
      <c r="O6" s="384"/>
      <c r="P6" s="384"/>
      <c r="Q6" s="384"/>
      <c r="R6" s="386"/>
      <c r="S6" s="386"/>
      <c r="T6" s="387"/>
      <c r="U6" s="387"/>
      <c r="V6" s="386"/>
      <c r="W6" s="386"/>
      <c r="X6" s="386"/>
      <c r="Y6" s="386"/>
      <c r="Z6" s="386"/>
      <c r="AA6" s="384"/>
      <c r="AB6" s="384"/>
      <c r="AC6" s="384"/>
      <c r="AD6" s="384"/>
      <c r="AE6" s="251"/>
      <c r="AF6" s="384"/>
      <c r="AG6" s="384"/>
      <c r="AH6" s="384"/>
      <c r="AI6" s="387"/>
      <c r="AJ6" s="387"/>
      <c r="AK6" s="387"/>
      <c r="AL6" s="387"/>
      <c r="AM6" s="387"/>
      <c r="AN6" s="387"/>
      <c r="AO6" s="384"/>
      <c r="AP6" s="384"/>
      <c r="AQ6" s="384"/>
      <c r="AR6" s="251"/>
      <c r="AS6" s="388"/>
      <c r="AT6" s="311"/>
      <c r="AU6" s="388"/>
      <c r="AV6" s="388"/>
      <c r="AW6" s="389"/>
      <c r="AX6" s="389"/>
      <c r="AY6" s="389"/>
      <c r="AZ6" s="389"/>
      <c r="BA6" s="389"/>
      <c r="BB6" s="389"/>
      <c r="BC6" s="389"/>
      <c r="BD6" s="389"/>
      <c r="BE6" s="389"/>
      <c r="BF6" s="390"/>
      <c r="BG6" s="390"/>
      <c r="BH6" s="390"/>
      <c r="BI6" s="390"/>
      <c r="BJ6" s="390"/>
      <c r="BK6" s="390"/>
      <c r="BL6" s="390"/>
      <c r="BM6" s="390"/>
      <c r="BN6" s="391"/>
      <c r="BO6" s="392"/>
      <c r="BP6" s="392"/>
      <c r="BQ6" s="392"/>
      <c r="BR6" s="392"/>
      <c r="BS6" s="392"/>
      <c r="BT6" s="392"/>
      <c r="BU6" s="392"/>
      <c r="BV6" s="392"/>
      <c r="BW6" s="392"/>
      <c r="BX6" s="392"/>
      <c r="BY6" s="392"/>
      <c r="BZ6" s="392"/>
      <c r="CA6" s="392"/>
      <c r="CB6" s="392"/>
      <c r="CC6" s="392"/>
      <c r="CD6" s="392"/>
      <c r="CE6" s="392"/>
      <c r="CF6" s="392"/>
      <c r="CG6" s="392"/>
    </row>
    <row r="7" spans="1:92" s="3" customFormat="1" ht="24" customHeight="1" x14ac:dyDescent="0.25">
      <c r="A7" s="437" t="s">
        <v>255</v>
      </c>
      <c r="B7" s="393"/>
      <c r="C7" s="439" t="s">
        <v>97</v>
      </c>
      <c r="D7" s="441" t="s">
        <v>254</v>
      </c>
      <c r="E7" s="443" t="s">
        <v>253</v>
      </c>
      <c r="F7" s="443"/>
      <c r="G7" s="443" t="s">
        <v>252</v>
      </c>
      <c r="H7" s="443"/>
      <c r="I7" s="453" t="s">
        <v>251</v>
      </c>
      <c r="J7" s="453" t="s">
        <v>250</v>
      </c>
      <c r="K7" s="453" t="s">
        <v>249</v>
      </c>
      <c r="L7" s="453" t="s">
        <v>248</v>
      </c>
      <c r="M7" s="453" t="s">
        <v>247</v>
      </c>
      <c r="N7" s="453" t="s">
        <v>246</v>
      </c>
      <c r="O7" s="453" t="s">
        <v>245</v>
      </c>
      <c r="P7" s="453" t="s">
        <v>244</v>
      </c>
      <c r="Q7" s="453" t="s">
        <v>243</v>
      </c>
      <c r="R7" s="451" t="s">
        <v>242</v>
      </c>
      <c r="S7" s="394"/>
      <c r="T7" s="449" t="s">
        <v>241</v>
      </c>
      <c r="U7" s="395"/>
      <c r="V7" s="451" t="s">
        <v>240</v>
      </c>
      <c r="W7" s="394"/>
      <c r="X7" s="451" t="s">
        <v>239</v>
      </c>
      <c r="Y7" s="396"/>
      <c r="Z7" s="453" t="s">
        <v>238</v>
      </c>
      <c r="AA7" s="453" t="s">
        <v>237</v>
      </c>
      <c r="AB7" s="453" t="s">
        <v>236</v>
      </c>
      <c r="AC7" s="453" t="s">
        <v>235</v>
      </c>
      <c r="AD7" s="453" t="s">
        <v>234</v>
      </c>
      <c r="AE7" s="448" t="s">
        <v>233</v>
      </c>
      <c r="AF7" s="453" t="s">
        <v>232</v>
      </c>
      <c r="AG7" s="453" t="s">
        <v>231</v>
      </c>
      <c r="AH7" s="455" t="s">
        <v>230</v>
      </c>
      <c r="AI7" s="455"/>
      <c r="AJ7" s="455"/>
      <c r="AK7" s="397"/>
      <c r="AL7" s="456" t="s">
        <v>229</v>
      </c>
      <c r="AM7" s="398"/>
      <c r="AN7" s="458" t="s">
        <v>228</v>
      </c>
      <c r="AO7" s="458"/>
      <c r="AP7" s="459"/>
      <c r="AQ7" s="444" t="s">
        <v>227</v>
      </c>
      <c r="AR7" s="246"/>
      <c r="AS7" s="399"/>
      <c r="AT7" s="246"/>
      <c r="AU7" s="246"/>
      <c r="AV7" s="446" t="s">
        <v>226</v>
      </c>
      <c r="AW7" s="462" t="s">
        <v>225</v>
      </c>
      <c r="AX7" s="464" t="s">
        <v>224</v>
      </c>
      <c r="AY7" s="466" t="s">
        <v>223</v>
      </c>
      <c r="AZ7" s="466" t="s">
        <v>222</v>
      </c>
      <c r="BA7" s="466" t="s">
        <v>221</v>
      </c>
      <c r="BB7" s="460" t="s">
        <v>220</v>
      </c>
      <c r="BC7" s="460" t="s">
        <v>219</v>
      </c>
      <c r="BD7" s="466" t="s">
        <v>218</v>
      </c>
      <c r="BE7" s="400" t="s">
        <v>217</v>
      </c>
      <c r="BF7" s="400" t="s">
        <v>216</v>
      </c>
      <c r="BG7" s="400" t="s">
        <v>215</v>
      </c>
      <c r="BH7" s="400" t="s">
        <v>214</v>
      </c>
      <c r="BI7" s="400" t="s">
        <v>213</v>
      </c>
      <c r="BJ7" s="400" t="s">
        <v>212</v>
      </c>
      <c r="BK7" s="400" t="s">
        <v>211</v>
      </c>
      <c r="BL7" s="400" t="s">
        <v>210</v>
      </c>
      <c r="BM7" s="401"/>
      <c r="BN7" s="470" t="s">
        <v>209</v>
      </c>
      <c r="BO7" s="470" t="s">
        <v>208</v>
      </c>
      <c r="BP7" s="470" t="s">
        <v>207</v>
      </c>
      <c r="BQ7" s="470" t="s">
        <v>206</v>
      </c>
      <c r="BR7" s="472" t="s">
        <v>205</v>
      </c>
      <c r="BS7" s="472" t="s">
        <v>204</v>
      </c>
      <c r="BT7" s="472" t="s">
        <v>203</v>
      </c>
      <c r="BU7" s="472" t="s">
        <v>202</v>
      </c>
      <c r="BV7" s="472" t="s">
        <v>201</v>
      </c>
      <c r="BW7" s="468" t="s">
        <v>200</v>
      </c>
      <c r="BX7" s="468" t="s">
        <v>199</v>
      </c>
      <c r="BY7" s="468" t="s">
        <v>198</v>
      </c>
      <c r="BZ7" s="468" t="s">
        <v>197</v>
      </c>
      <c r="CA7" s="468" t="s">
        <v>196</v>
      </c>
      <c r="CB7" s="474" t="s">
        <v>195</v>
      </c>
      <c r="CC7" s="474" t="s">
        <v>194</v>
      </c>
      <c r="CD7" s="474" t="s">
        <v>193</v>
      </c>
      <c r="CE7" s="474" t="s">
        <v>192</v>
      </c>
      <c r="CF7" s="476" t="s">
        <v>191</v>
      </c>
    </row>
    <row r="8" spans="1:92" s="3" customFormat="1" ht="24" customHeight="1" x14ac:dyDescent="0.25">
      <c r="A8" s="438"/>
      <c r="B8" s="402"/>
      <c r="C8" s="440"/>
      <c r="D8" s="442"/>
      <c r="E8" s="80" t="s">
        <v>190</v>
      </c>
      <c r="F8" s="403" t="s">
        <v>189</v>
      </c>
      <c r="G8" s="404" t="s">
        <v>188</v>
      </c>
      <c r="H8" s="405" t="s">
        <v>187</v>
      </c>
      <c r="I8" s="454"/>
      <c r="J8" s="454"/>
      <c r="K8" s="454"/>
      <c r="L8" s="454"/>
      <c r="M8" s="454"/>
      <c r="N8" s="454"/>
      <c r="O8" s="454"/>
      <c r="P8" s="454"/>
      <c r="Q8" s="454"/>
      <c r="R8" s="452"/>
      <c r="S8" s="406"/>
      <c r="T8" s="450"/>
      <c r="U8" s="407"/>
      <c r="V8" s="452"/>
      <c r="W8" s="408"/>
      <c r="X8" s="452"/>
      <c r="Y8" s="409"/>
      <c r="Z8" s="454"/>
      <c r="AA8" s="454"/>
      <c r="AB8" s="454"/>
      <c r="AC8" s="454"/>
      <c r="AD8" s="454"/>
      <c r="AE8" s="448"/>
      <c r="AF8" s="454"/>
      <c r="AG8" s="454"/>
      <c r="AH8" s="410" t="s">
        <v>186</v>
      </c>
      <c r="AI8" s="410"/>
      <c r="AJ8" s="410" t="s">
        <v>185</v>
      </c>
      <c r="AK8" s="410"/>
      <c r="AL8" s="457"/>
      <c r="AM8" s="410"/>
      <c r="AN8" s="411" t="s">
        <v>184</v>
      </c>
      <c r="AO8" s="411" t="s">
        <v>183</v>
      </c>
      <c r="AP8" s="412" t="s">
        <v>182</v>
      </c>
      <c r="AQ8" s="445"/>
      <c r="AR8" s="246"/>
      <c r="AS8" s="399"/>
      <c r="AT8" s="246"/>
      <c r="AU8" s="246">
        <f>COUNTBLANK(AU9:AU59)</f>
        <v>50</v>
      </c>
      <c r="AV8" s="447"/>
      <c r="AW8" s="463"/>
      <c r="AX8" s="465"/>
      <c r="AY8" s="467"/>
      <c r="AZ8" s="467"/>
      <c r="BA8" s="467"/>
      <c r="BB8" s="461"/>
      <c r="BC8" s="461"/>
      <c r="BD8" s="467"/>
      <c r="BE8" s="413" t="s">
        <v>181</v>
      </c>
      <c r="BF8" s="413" t="s">
        <v>180</v>
      </c>
      <c r="BG8" s="413" t="s">
        <v>180</v>
      </c>
      <c r="BH8" s="413" t="s">
        <v>179</v>
      </c>
      <c r="BI8" s="413" t="s">
        <v>179</v>
      </c>
      <c r="BJ8" s="413" t="s">
        <v>179</v>
      </c>
      <c r="BK8" s="413" t="s">
        <v>179</v>
      </c>
      <c r="BL8" s="413" t="s">
        <v>178</v>
      </c>
      <c r="BM8" s="414" t="s">
        <v>177</v>
      </c>
      <c r="BN8" s="471"/>
      <c r="BO8" s="471"/>
      <c r="BP8" s="471"/>
      <c r="BQ8" s="471"/>
      <c r="BR8" s="473"/>
      <c r="BS8" s="473"/>
      <c r="BT8" s="473"/>
      <c r="BU8" s="473"/>
      <c r="BV8" s="473"/>
      <c r="BW8" s="469"/>
      <c r="BX8" s="469"/>
      <c r="BY8" s="469"/>
      <c r="BZ8" s="469"/>
      <c r="CA8" s="469"/>
      <c r="CB8" s="475"/>
      <c r="CC8" s="475"/>
      <c r="CD8" s="475"/>
      <c r="CE8" s="475"/>
      <c r="CF8" s="477"/>
    </row>
    <row r="9" spans="1:92" ht="15" customHeight="1" x14ac:dyDescent="0.25">
      <c r="A9" s="353"/>
      <c r="B9" s="189" t="s">
        <v>320</v>
      </c>
      <c r="C9" s="188"/>
      <c r="D9" s="356"/>
      <c r="E9" s="335"/>
      <c r="F9" s="334"/>
      <c r="G9" s="335"/>
      <c r="H9" s="334"/>
      <c r="I9" s="187"/>
      <c r="J9" s="342"/>
      <c r="K9" s="342"/>
      <c r="L9" s="343"/>
      <c r="M9" s="334"/>
      <c r="N9" s="334"/>
      <c r="O9" s="334"/>
      <c r="P9" s="334"/>
      <c r="Q9" s="334"/>
      <c r="R9" s="342"/>
      <c r="S9" s="334">
        <v>0</v>
      </c>
      <c r="T9" s="342"/>
      <c r="U9" s="334">
        <v>0</v>
      </c>
      <c r="V9" s="342"/>
      <c r="W9" s="334">
        <v>0</v>
      </c>
      <c r="X9" s="344"/>
      <c r="Y9" s="334">
        <v>0</v>
      </c>
      <c r="Z9" s="334"/>
      <c r="AA9" s="334"/>
      <c r="AB9" s="334"/>
      <c r="AC9" s="334"/>
      <c r="AD9" s="334"/>
      <c r="AE9" s="334"/>
      <c r="AF9" s="334"/>
      <c r="AG9" s="345"/>
      <c r="AH9" s="342"/>
      <c r="AI9" s="345">
        <v>0</v>
      </c>
      <c r="AJ9" s="342"/>
      <c r="AK9" s="345">
        <v>0</v>
      </c>
      <c r="AL9" s="342"/>
      <c r="AM9" s="185">
        <v>0</v>
      </c>
      <c r="AN9" s="184"/>
      <c r="AO9" s="336"/>
      <c r="AP9" s="358"/>
      <c r="AQ9" s="168"/>
      <c r="AS9" s="167"/>
      <c r="AV9" s="165" t="s">
        <v>321</v>
      </c>
      <c r="AW9" s="164" t="s">
        <v>320</v>
      </c>
      <c r="AX9" s="163" t="s">
        <v>321</v>
      </c>
      <c r="AY9" s="161" t="s">
        <v>321</v>
      </c>
      <c r="AZ9" s="161" t="s">
        <v>321</v>
      </c>
      <c r="BA9" s="162" t="s">
        <v>321</v>
      </c>
      <c r="BB9" s="161" t="s">
        <v>321</v>
      </c>
      <c r="BC9" s="161" t="s">
        <v>321</v>
      </c>
      <c r="BD9" s="160" t="s">
        <v>321</v>
      </c>
      <c r="BE9" s="158" t="s">
        <v>321</v>
      </c>
      <c r="BF9" s="158" t="s">
        <v>321</v>
      </c>
      <c r="BG9" s="159" t="s">
        <v>321</v>
      </c>
      <c r="BH9" s="158" t="s">
        <v>321</v>
      </c>
      <c r="BI9" s="158" t="s">
        <v>321</v>
      </c>
      <c r="BJ9" s="158" t="s">
        <v>321</v>
      </c>
      <c r="BK9" s="158" t="s">
        <v>321</v>
      </c>
      <c r="BL9" s="158" t="s">
        <v>321</v>
      </c>
      <c r="BM9" s="157" t="s">
        <v>321</v>
      </c>
      <c r="BN9" s="156" t="s">
        <v>321</v>
      </c>
      <c r="BO9" s="156" t="s">
        <v>321</v>
      </c>
      <c r="BP9" s="156" t="s">
        <v>321</v>
      </c>
      <c r="BQ9" s="156" t="s">
        <v>321</v>
      </c>
      <c r="BR9" s="155">
        <v>18</v>
      </c>
      <c r="BS9" s="154">
        <v>0</v>
      </c>
      <c r="BT9" s="154">
        <v>25</v>
      </c>
      <c r="BU9" s="153" t="s">
        <v>321</v>
      </c>
      <c r="BV9" s="153" t="s">
        <v>321</v>
      </c>
      <c r="BW9" s="152">
        <v>6</v>
      </c>
      <c r="BX9" s="151">
        <v>-100</v>
      </c>
      <c r="BY9" s="151">
        <v>70</v>
      </c>
      <c r="BZ9" s="151" t="s">
        <v>321</v>
      </c>
      <c r="CA9" s="151" t="s">
        <v>321</v>
      </c>
      <c r="CB9" s="150">
        <v>7</v>
      </c>
      <c r="CC9" s="149">
        <v>70</v>
      </c>
      <c r="CD9" s="149">
        <v>200</v>
      </c>
      <c r="CE9" s="149" t="s">
        <v>321</v>
      </c>
      <c r="CF9" s="148" t="s">
        <v>321</v>
      </c>
      <c r="CG9" s="183"/>
      <c r="CH9" s="183"/>
      <c r="CI9" s="183"/>
      <c r="CJ9" s="183"/>
      <c r="CK9" s="183"/>
      <c r="CL9" s="183"/>
      <c r="CM9" s="183"/>
      <c r="CN9" s="183"/>
    </row>
    <row r="10" spans="1:92" ht="15" customHeight="1" x14ac:dyDescent="0.25">
      <c r="A10" s="354"/>
      <c r="B10" s="178"/>
      <c r="C10" s="177"/>
      <c r="D10" s="348"/>
      <c r="E10" s="337"/>
      <c r="F10" s="336"/>
      <c r="G10" s="337"/>
      <c r="H10" s="336"/>
      <c r="I10" s="180"/>
      <c r="J10" s="346"/>
      <c r="K10" s="346"/>
      <c r="L10" s="347"/>
      <c r="M10" s="336"/>
      <c r="N10" s="336"/>
      <c r="O10" s="336"/>
      <c r="P10" s="336"/>
      <c r="Q10" s="336"/>
      <c r="R10" s="346"/>
      <c r="S10" s="336"/>
      <c r="T10" s="346"/>
      <c r="U10" s="336"/>
      <c r="V10" s="346"/>
      <c r="W10" s="336"/>
      <c r="X10" s="348"/>
      <c r="Y10" s="336"/>
      <c r="Z10" s="336"/>
      <c r="AA10" s="336"/>
      <c r="AB10" s="336"/>
      <c r="AC10" s="336"/>
      <c r="AD10" s="336"/>
      <c r="AE10" s="336"/>
      <c r="AF10" s="336"/>
      <c r="AG10" s="336"/>
      <c r="AH10" s="346"/>
      <c r="AI10" s="336"/>
      <c r="AJ10" s="346"/>
      <c r="AK10" s="336"/>
      <c r="AL10" s="346"/>
      <c r="AM10" s="170"/>
      <c r="AN10" s="174"/>
      <c r="AO10" s="336"/>
      <c r="AP10" s="358"/>
      <c r="AQ10" s="168"/>
      <c r="AS10" s="167"/>
      <c r="AV10" s="165"/>
      <c r="AW10" s="164"/>
      <c r="AX10" s="163"/>
      <c r="AY10" s="161"/>
      <c r="AZ10" s="161"/>
      <c r="BA10" s="162"/>
      <c r="BB10" s="161"/>
      <c r="BC10" s="161"/>
      <c r="BD10" s="160"/>
      <c r="BE10" s="158"/>
      <c r="BF10" s="158"/>
      <c r="BG10" s="159"/>
      <c r="BH10" s="158"/>
      <c r="BI10" s="158"/>
      <c r="BJ10" s="158"/>
      <c r="BK10" s="158"/>
      <c r="BL10" s="158"/>
      <c r="BM10" s="157"/>
      <c r="BN10" s="156"/>
      <c r="BO10" s="156"/>
      <c r="BP10" s="156"/>
      <c r="BQ10" s="156"/>
      <c r="BR10" s="155"/>
      <c r="BS10" s="154"/>
      <c r="BT10" s="154"/>
      <c r="BU10" s="153"/>
      <c r="BV10" s="153"/>
      <c r="BW10" s="152"/>
      <c r="BX10" s="151"/>
      <c r="BY10" s="151"/>
      <c r="BZ10" s="151"/>
      <c r="CA10" s="151"/>
      <c r="CB10" s="150"/>
      <c r="CC10" s="149"/>
      <c r="CD10" s="149"/>
      <c r="CE10" s="149"/>
      <c r="CF10" s="148"/>
    </row>
    <row r="11" spans="1:92" ht="15" customHeight="1" x14ac:dyDescent="0.25">
      <c r="A11" s="354"/>
      <c r="B11" s="178"/>
      <c r="C11" s="177"/>
      <c r="D11" s="348"/>
      <c r="E11" s="337"/>
      <c r="F11" s="336"/>
      <c r="G11" s="337"/>
      <c r="H11" s="336"/>
      <c r="I11" s="180"/>
      <c r="J11" s="346"/>
      <c r="K11" s="346"/>
      <c r="L11" s="347"/>
      <c r="M11" s="336"/>
      <c r="N11" s="336"/>
      <c r="O11" s="336"/>
      <c r="P11" s="336"/>
      <c r="Q11" s="336"/>
      <c r="R11" s="346"/>
      <c r="S11" s="336"/>
      <c r="T11" s="346"/>
      <c r="U11" s="336"/>
      <c r="V11" s="346"/>
      <c r="W11" s="336"/>
      <c r="X11" s="348"/>
      <c r="Y11" s="336"/>
      <c r="Z11" s="336"/>
      <c r="AA11" s="336"/>
      <c r="AB11" s="336"/>
      <c r="AC11" s="336"/>
      <c r="AD11" s="336"/>
      <c r="AE11" s="336"/>
      <c r="AF11" s="336"/>
      <c r="AG11" s="336"/>
      <c r="AH11" s="346"/>
      <c r="AI11" s="336"/>
      <c r="AJ11" s="346"/>
      <c r="AK11" s="336"/>
      <c r="AL11" s="346"/>
      <c r="AM11" s="170"/>
      <c r="AN11" s="174"/>
      <c r="AO11" s="336"/>
      <c r="AP11" s="358"/>
      <c r="AQ11" s="168"/>
      <c r="AS11" s="167"/>
      <c r="AV11" s="165"/>
      <c r="AW11" s="164"/>
      <c r="AX11" s="163"/>
      <c r="AY11" s="161"/>
      <c r="AZ11" s="161"/>
      <c r="BA11" s="162"/>
      <c r="BB11" s="161"/>
      <c r="BC11" s="161"/>
      <c r="BD11" s="160"/>
      <c r="BE11" s="158"/>
      <c r="BF11" s="158"/>
      <c r="BG11" s="159"/>
      <c r="BH11" s="158"/>
      <c r="BI11" s="158"/>
      <c r="BJ11" s="158"/>
      <c r="BK11" s="158"/>
      <c r="BL11" s="158"/>
      <c r="BM11" s="157"/>
      <c r="BN11" s="156"/>
      <c r="BO11" s="156"/>
      <c r="BP11" s="156"/>
      <c r="BQ11" s="156"/>
      <c r="BR11" s="155"/>
      <c r="BS11" s="154"/>
      <c r="BT11" s="154"/>
      <c r="BU11" s="153"/>
      <c r="BV11" s="153"/>
      <c r="BW11" s="152"/>
      <c r="BX11" s="151"/>
      <c r="BY11" s="151"/>
      <c r="BZ11" s="151"/>
      <c r="CA11" s="151"/>
      <c r="CB11" s="150"/>
      <c r="CC11" s="149"/>
      <c r="CD11" s="149"/>
      <c r="CE11" s="149"/>
      <c r="CF11" s="148"/>
    </row>
    <row r="12" spans="1:92" ht="15" customHeight="1" x14ac:dyDescent="0.25">
      <c r="A12" s="354"/>
      <c r="B12" s="178"/>
      <c r="C12" s="177"/>
      <c r="D12" s="348"/>
      <c r="E12" s="337"/>
      <c r="F12" s="336"/>
      <c r="G12" s="337"/>
      <c r="H12" s="336"/>
      <c r="I12" s="180"/>
      <c r="J12" s="346"/>
      <c r="K12" s="346"/>
      <c r="L12" s="347"/>
      <c r="M12" s="336"/>
      <c r="N12" s="336"/>
      <c r="O12" s="336"/>
      <c r="P12" s="336"/>
      <c r="Q12" s="336"/>
      <c r="R12" s="346"/>
      <c r="S12" s="336"/>
      <c r="T12" s="346"/>
      <c r="U12" s="336"/>
      <c r="V12" s="346"/>
      <c r="W12" s="336"/>
      <c r="X12" s="348"/>
      <c r="Y12" s="336"/>
      <c r="Z12" s="336"/>
      <c r="AA12" s="336"/>
      <c r="AB12" s="336"/>
      <c r="AC12" s="336"/>
      <c r="AD12" s="336"/>
      <c r="AE12" s="336"/>
      <c r="AF12" s="336"/>
      <c r="AG12" s="336"/>
      <c r="AH12" s="346"/>
      <c r="AI12" s="336"/>
      <c r="AJ12" s="346"/>
      <c r="AK12" s="336"/>
      <c r="AL12" s="346"/>
      <c r="AM12" s="170"/>
      <c r="AN12" s="174"/>
      <c r="AO12" s="336"/>
      <c r="AP12" s="358"/>
      <c r="AQ12" s="168"/>
      <c r="AS12" s="167"/>
      <c r="AV12" s="165"/>
      <c r="AW12" s="164"/>
      <c r="AX12" s="163"/>
      <c r="AY12" s="161"/>
      <c r="AZ12" s="161"/>
      <c r="BA12" s="162"/>
      <c r="BB12" s="161"/>
      <c r="BC12" s="161"/>
      <c r="BD12" s="160"/>
      <c r="BE12" s="158"/>
      <c r="BF12" s="158"/>
      <c r="BG12" s="159"/>
      <c r="BH12" s="158"/>
      <c r="BI12" s="158"/>
      <c r="BJ12" s="158"/>
      <c r="BK12" s="158"/>
      <c r="BL12" s="158"/>
      <c r="BM12" s="157"/>
      <c r="BN12" s="156"/>
      <c r="BO12" s="156"/>
      <c r="BP12" s="156"/>
      <c r="BQ12" s="156"/>
      <c r="BR12" s="155"/>
      <c r="BS12" s="154"/>
      <c r="BT12" s="154"/>
      <c r="BU12" s="153"/>
      <c r="BV12" s="153"/>
      <c r="BW12" s="152"/>
      <c r="BX12" s="151"/>
      <c r="BY12" s="151"/>
      <c r="BZ12" s="151"/>
      <c r="CA12" s="151"/>
      <c r="CB12" s="150"/>
      <c r="CC12" s="149"/>
      <c r="CD12" s="149"/>
      <c r="CE12" s="149"/>
      <c r="CF12" s="148"/>
    </row>
    <row r="13" spans="1:92" ht="15" customHeight="1" x14ac:dyDescent="0.25">
      <c r="A13" s="354"/>
      <c r="B13" s="178"/>
      <c r="C13" s="177"/>
      <c r="D13" s="348"/>
      <c r="E13" s="337"/>
      <c r="F13" s="336"/>
      <c r="G13" s="337"/>
      <c r="H13" s="336"/>
      <c r="I13" s="180"/>
      <c r="J13" s="346"/>
      <c r="K13" s="346"/>
      <c r="L13" s="347"/>
      <c r="M13" s="336"/>
      <c r="N13" s="336"/>
      <c r="O13" s="336"/>
      <c r="P13" s="336"/>
      <c r="Q13" s="336"/>
      <c r="R13" s="346"/>
      <c r="S13" s="336"/>
      <c r="T13" s="346"/>
      <c r="U13" s="336"/>
      <c r="V13" s="346"/>
      <c r="W13" s="336"/>
      <c r="X13" s="348"/>
      <c r="Y13" s="336"/>
      <c r="Z13" s="336"/>
      <c r="AA13" s="336"/>
      <c r="AB13" s="336"/>
      <c r="AC13" s="336"/>
      <c r="AD13" s="336"/>
      <c r="AE13" s="336"/>
      <c r="AF13" s="336"/>
      <c r="AG13" s="336"/>
      <c r="AH13" s="346"/>
      <c r="AI13" s="336"/>
      <c r="AJ13" s="346"/>
      <c r="AK13" s="336"/>
      <c r="AL13" s="346"/>
      <c r="AM13" s="170"/>
      <c r="AN13" s="174"/>
      <c r="AO13" s="336"/>
      <c r="AP13" s="358"/>
      <c r="AQ13" s="168"/>
      <c r="AR13" s="166"/>
      <c r="AS13" s="167"/>
      <c r="AT13" s="166"/>
      <c r="AU13" s="166"/>
      <c r="AV13" s="165"/>
      <c r="AW13" s="164"/>
      <c r="AX13" s="163"/>
      <c r="AY13" s="161"/>
      <c r="AZ13" s="161"/>
      <c r="BA13" s="162"/>
      <c r="BB13" s="161"/>
      <c r="BC13" s="161"/>
      <c r="BD13" s="160"/>
      <c r="BE13" s="158"/>
      <c r="BF13" s="158"/>
      <c r="BG13" s="159"/>
      <c r="BH13" s="158"/>
      <c r="BI13" s="158"/>
      <c r="BJ13" s="158"/>
      <c r="BK13" s="158"/>
      <c r="BL13" s="158"/>
      <c r="BM13" s="157"/>
      <c r="BN13" s="156"/>
      <c r="BO13" s="156"/>
      <c r="BP13" s="156"/>
      <c r="BQ13" s="156"/>
      <c r="BR13" s="155"/>
      <c r="BS13" s="154"/>
      <c r="BT13" s="154"/>
      <c r="BU13" s="153"/>
      <c r="BV13" s="153"/>
      <c r="BW13" s="152"/>
      <c r="BX13" s="151"/>
      <c r="BY13" s="151"/>
      <c r="BZ13" s="151"/>
      <c r="CA13" s="151"/>
      <c r="CB13" s="150"/>
      <c r="CC13" s="149"/>
      <c r="CD13" s="149"/>
      <c r="CE13" s="149"/>
      <c r="CF13" s="148"/>
    </row>
    <row r="14" spans="1:92" ht="15" customHeight="1" x14ac:dyDescent="0.25">
      <c r="A14" s="354"/>
      <c r="B14" s="178"/>
      <c r="C14" s="177"/>
      <c r="D14" s="348"/>
      <c r="E14" s="337"/>
      <c r="F14" s="336"/>
      <c r="G14" s="337"/>
      <c r="H14" s="336"/>
      <c r="I14" s="180"/>
      <c r="J14" s="346"/>
      <c r="K14" s="346"/>
      <c r="L14" s="347"/>
      <c r="M14" s="336"/>
      <c r="N14" s="336"/>
      <c r="O14" s="336"/>
      <c r="P14" s="336"/>
      <c r="Q14" s="336"/>
      <c r="R14" s="346"/>
      <c r="S14" s="336"/>
      <c r="T14" s="346"/>
      <c r="U14" s="336"/>
      <c r="V14" s="346"/>
      <c r="W14" s="336"/>
      <c r="X14" s="348"/>
      <c r="Y14" s="336"/>
      <c r="Z14" s="336"/>
      <c r="AA14" s="336"/>
      <c r="AB14" s="336"/>
      <c r="AC14" s="336"/>
      <c r="AD14" s="336"/>
      <c r="AE14" s="336"/>
      <c r="AF14" s="336"/>
      <c r="AG14" s="336"/>
      <c r="AH14" s="337"/>
      <c r="AI14" s="336"/>
      <c r="AJ14" s="346"/>
      <c r="AK14" s="336"/>
      <c r="AL14" s="346"/>
      <c r="AM14" s="170"/>
      <c r="AN14" s="174"/>
      <c r="AO14" s="336"/>
      <c r="AP14" s="358"/>
      <c r="AQ14" s="168"/>
      <c r="AR14" s="166"/>
      <c r="AS14" s="167"/>
      <c r="AT14" s="182"/>
      <c r="AU14" s="181"/>
      <c r="AV14" s="165"/>
      <c r="AW14" s="164"/>
      <c r="AX14" s="163"/>
      <c r="AY14" s="161"/>
      <c r="AZ14" s="161"/>
      <c r="BA14" s="162"/>
      <c r="BB14" s="161"/>
      <c r="BC14" s="161"/>
      <c r="BD14" s="160"/>
      <c r="BE14" s="158"/>
      <c r="BF14" s="158"/>
      <c r="BG14" s="159"/>
      <c r="BH14" s="158"/>
      <c r="BI14" s="158"/>
      <c r="BJ14" s="158"/>
      <c r="BK14" s="158"/>
      <c r="BL14" s="158"/>
      <c r="BM14" s="157"/>
      <c r="BN14" s="156"/>
      <c r="BO14" s="156"/>
      <c r="BP14" s="156"/>
      <c r="BQ14" s="156"/>
      <c r="BR14" s="155"/>
      <c r="BS14" s="154"/>
      <c r="BT14" s="154"/>
      <c r="BU14" s="153"/>
      <c r="BV14" s="153"/>
      <c r="BW14" s="152"/>
      <c r="BX14" s="151"/>
      <c r="BY14" s="151"/>
      <c r="BZ14" s="151"/>
      <c r="CA14" s="151"/>
      <c r="CB14" s="150"/>
      <c r="CC14" s="149"/>
      <c r="CD14" s="149"/>
      <c r="CE14" s="149"/>
      <c r="CF14" s="148"/>
    </row>
    <row r="15" spans="1:92" ht="15" customHeight="1" x14ac:dyDescent="0.25">
      <c r="A15" s="354"/>
      <c r="B15" s="178"/>
      <c r="C15" s="177"/>
      <c r="D15" s="348"/>
      <c r="E15" s="337"/>
      <c r="F15" s="336"/>
      <c r="G15" s="337"/>
      <c r="H15" s="336"/>
      <c r="I15" s="180"/>
      <c r="J15" s="346"/>
      <c r="K15" s="346"/>
      <c r="L15" s="347"/>
      <c r="M15" s="336"/>
      <c r="N15" s="336"/>
      <c r="O15" s="336"/>
      <c r="P15" s="336"/>
      <c r="Q15" s="336"/>
      <c r="R15" s="346"/>
      <c r="S15" s="336"/>
      <c r="T15" s="346"/>
      <c r="U15" s="336"/>
      <c r="V15" s="346"/>
      <c r="W15" s="336"/>
      <c r="X15" s="348"/>
      <c r="Y15" s="336"/>
      <c r="Z15" s="336"/>
      <c r="AA15" s="336"/>
      <c r="AB15" s="336"/>
      <c r="AC15" s="336"/>
      <c r="AD15" s="336"/>
      <c r="AE15" s="336"/>
      <c r="AF15" s="336"/>
      <c r="AG15" s="336"/>
      <c r="AH15" s="346"/>
      <c r="AI15" s="336"/>
      <c r="AJ15" s="346"/>
      <c r="AK15" s="336"/>
      <c r="AL15" s="346"/>
      <c r="AM15" s="170"/>
      <c r="AN15" s="174"/>
      <c r="AO15" s="336"/>
      <c r="AP15" s="358"/>
      <c r="AQ15" s="168"/>
      <c r="AR15" s="166"/>
      <c r="AS15" s="167"/>
      <c r="AT15" s="166"/>
      <c r="AU15" s="166"/>
      <c r="AV15" s="165"/>
      <c r="AW15" s="164"/>
      <c r="AX15" s="163"/>
      <c r="AY15" s="161"/>
      <c r="AZ15" s="161"/>
      <c r="BA15" s="162"/>
      <c r="BB15" s="161"/>
      <c r="BC15" s="161"/>
      <c r="BD15" s="160"/>
      <c r="BE15" s="158"/>
      <c r="BF15" s="158"/>
      <c r="BG15" s="159"/>
      <c r="BH15" s="158"/>
      <c r="BI15" s="158"/>
      <c r="BJ15" s="158"/>
      <c r="BK15" s="158"/>
      <c r="BL15" s="158"/>
      <c r="BM15" s="157"/>
      <c r="BN15" s="156"/>
      <c r="BO15" s="156"/>
      <c r="BP15" s="156"/>
      <c r="BQ15" s="156"/>
      <c r="BR15" s="155"/>
      <c r="BS15" s="154"/>
      <c r="BT15" s="154"/>
      <c r="BU15" s="153"/>
      <c r="BV15" s="153"/>
      <c r="BW15" s="152"/>
      <c r="BX15" s="151"/>
      <c r="BY15" s="151"/>
      <c r="BZ15" s="151"/>
      <c r="CA15" s="151"/>
      <c r="CB15" s="150"/>
      <c r="CC15" s="149"/>
      <c r="CD15" s="149"/>
      <c r="CE15" s="149"/>
      <c r="CF15" s="148"/>
    </row>
    <row r="16" spans="1:92" ht="15" customHeight="1" x14ac:dyDescent="0.25">
      <c r="A16" s="354"/>
      <c r="B16" s="178"/>
      <c r="C16" s="177"/>
      <c r="D16" s="348"/>
      <c r="E16" s="337"/>
      <c r="F16" s="338"/>
      <c r="G16" s="337"/>
      <c r="H16" s="338"/>
      <c r="I16" s="180"/>
      <c r="J16" s="346"/>
      <c r="K16" s="346"/>
      <c r="L16" s="347"/>
      <c r="M16" s="336"/>
      <c r="N16" s="336"/>
      <c r="O16" s="336"/>
      <c r="P16" s="336"/>
      <c r="Q16" s="336"/>
      <c r="R16" s="346"/>
      <c r="S16" s="336"/>
      <c r="T16" s="346"/>
      <c r="U16" s="336"/>
      <c r="V16" s="346"/>
      <c r="W16" s="336"/>
      <c r="X16" s="348"/>
      <c r="Y16" s="336"/>
      <c r="Z16" s="336"/>
      <c r="AA16" s="336"/>
      <c r="AB16" s="336"/>
      <c r="AC16" s="336"/>
      <c r="AD16" s="336"/>
      <c r="AE16" s="336"/>
      <c r="AF16" s="336"/>
      <c r="AG16" s="336"/>
      <c r="AH16" s="346"/>
      <c r="AI16" s="336"/>
      <c r="AJ16" s="346"/>
      <c r="AK16" s="336"/>
      <c r="AL16" s="346"/>
      <c r="AM16" s="170"/>
      <c r="AN16" s="179"/>
      <c r="AO16" s="338"/>
      <c r="AP16" s="359"/>
      <c r="AQ16" s="168"/>
      <c r="AR16" s="166"/>
      <c r="AS16" s="167"/>
      <c r="AT16" s="166"/>
      <c r="AU16" s="166"/>
      <c r="AV16" s="165"/>
      <c r="AW16" s="164"/>
      <c r="AX16" s="163"/>
      <c r="AY16" s="161"/>
      <c r="AZ16" s="161"/>
      <c r="BA16" s="162"/>
      <c r="BB16" s="161"/>
      <c r="BC16" s="161"/>
      <c r="BD16" s="160"/>
      <c r="BE16" s="158"/>
      <c r="BF16" s="158"/>
      <c r="BG16" s="159"/>
      <c r="BH16" s="158"/>
      <c r="BI16" s="158"/>
      <c r="BJ16" s="158"/>
      <c r="BK16" s="158"/>
      <c r="BL16" s="158"/>
      <c r="BM16" s="157"/>
      <c r="BN16" s="156"/>
      <c r="BO16" s="156"/>
      <c r="BP16" s="156"/>
      <c r="BQ16" s="156"/>
      <c r="BR16" s="155"/>
      <c r="BS16" s="154"/>
      <c r="BT16" s="154"/>
      <c r="BU16" s="153"/>
      <c r="BV16" s="153"/>
      <c r="BW16" s="152"/>
      <c r="BX16" s="151"/>
      <c r="BY16" s="151"/>
      <c r="BZ16" s="151"/>
      <c r="CA16" s="151"/>
      <c r="CB16" s="150"/>
      <c r="CC16" s="149"/>
      <c r="CD16" s="149"/>
      <c r="CE16" s="149"/>
      <c r="CF16" s="148"/>
    </row>
    <row r="17" spans="1:84" ht="15" customHeight="1" x14ac:dyDescent="0.25">
      <c r="A17" s="354"/>
      <c r="B17" s="178"/>
      <c r="C17" s="177"/>
      <c r="D17" s="348"/>
      <c r="E17" s="337"/>
      <c r="F17" s="336"/>
      <c r="G17" s="337"/>
      <c r="H17" s="336"/>
      <c r="I17" s="180"/>
      <c r="J17" s="346"/>
      <c r="K17" s="346"/>
      <c r="L17" s="347"/>
      <c r="M17" s="336"/>
      <c r="N17" s="336"/>
      <c r="O17" s="336"/>
      <c r="P17" s="336"/>
      <c r="Q17" s="336"/>
      <c r="R17" s="346"/>
      <c r="S17" s="336"/>
      <c r="T17" s="346"/>
      <c r="U17" s="336"/>
      <c r="V17" s="346"/>
      <c r="W17" s="336"/>
      <c r="X17" s="348"/>
      <c r="Y17" s="336"/>
      <c r="Z17" s="336"/>
      <c r="AA17" s="336"/>
      <c r="AB17" s="336"/>
      <c r="AC17" s="336"/>
      <c r="AD17" s="336"/>
      <c r="AE17" s="336"/>
      <c r="AF17" s="336"/>
      <c r="AG17" s="336"/>
      <c r="AH17" s="346"/>
      <c r="AI17" s="336"/>
      <c r="AJ17" s="346"/>
      <c r="AK17" s="336"/>
      <c r="AL17" s="346"/>
      <c r="AM17" s="170"/>
      <c r="AN17" s="174"/>
      <c r="AO17" s="336"/>
      <c r="AP17" s="358"/>
      <c r="AQ17" s="168"/>
      <c r="AR17" s="166"/>
      <c r="AS17" s="167"/>
      <c r="AT17" s="166"/>
      <c r="AU17" s="166"/>
      <c r="AV17" s="165"/>
      <c r="AW17" s="164"/>
      <c r="AX17" s="163"/>
      <c r="AY17" s="161"/>
      <c r="AZ17" s="161"/>
      <c r="BA17" s="162"/>
      <c r="BB17" s="161"/>
      <c r="BC17" s="161"/>
      <c r="BD17" s="160"/>
      <c r="BE17" s="158"/>
      <c r="BF17" s="158"/>
      <c r="BG17" s="159"/>
      <c r="BH17" s="158"/>
      <c r="BI17" s="158"/>
      <c r="BJ17" s="158"/>
      <c r="BK17" s="158"/>
      <c r="BL17" s="158"/>
      <c r="BM17" s="157"/>
      <c r="BN17" s="156"/>
      <c r="BO17" s="156"/>
      <c r="BP17" s="156"/>
      <c r="BQ17" s="156"/>
      <c r="BR17" s="155"/>
      <c r="BS17" s="154"/>
      <c r="BT17" s="154"/>
      <c r="BU17" s="153"/>
      <c r="BV17" s="153"/>
      <c r="BW17" s="152"/>
      <c r="BX17" s="151"/>
      <c r="BY17" s="151"/>
      <c r="BZ17" s="151"/>
      <c r="CA17" s="151"/>
      <c r="CB17" s="150"/>
      <c r="CC17" s="149"/>
      <c r="CD17" s="149"/>
      <c r="CE17" s="149"/>
      <c r="CF17" s="148"/>
    </row>
    <row r="18" spans="1:84" ht="15" customHeight="1" x14ac:dyDescent="0.25">
      <c r="A18" s="354"/>
      <c r="B18" s="178"/>
      <c r="C18" s="177"/>
      <c r="D18" s="348"/>
      <c r="E18" s="337"/>
      <c r="F18" s="336"/>
      <c r="G18" s="337"/>
      <c r="H18" s="336"/>
      <c r="I18" s="180"/>
      <c r="J18" s="346"/>
      <c r="K18" s="346"/>
      <c r="L18" s="347"/>
      <c r="M18" s="336"/>
      <c r="N18" s="336"/>
      <c r="O18" s="336"/>
      <c r="P18" s="336"/>
      <c r="Q18" s="336"/>
      <c r="R18" s="346"/>
      <c r="S18" s="336"/>
      <c r="T18" s="346"/>
      <c r="U18" s="336"/>
      <c r="V18" s="346"/>
      <c r="W18" s="336"/>
      <c r="X18" s="348"/>
      <c r="Y18" s="336"/>
      <c r="Z18" s="336"/>
      <c r="AA18" s="336"/>
      <c r="AB18" s="336"/>
      <c r="AC18" s="336"/>
      <c r="AD18" s="336"/>
      <c r="AE18" s="336"/>
      <c r="AF18" s="336"/>
      <c r="AG18" s="336"/>
      <c r="AH18" s="346"/>
      <c r="AI18" s="336"/>
      <c r="AJ18" s="346"/>
      <c r="AK18" s="336"/>
      <c r="AL18" s="346"/>
      <c r="AM18" s="170"/>
      <c r="AN18" s="174"/>
      <c r="AO18" s="336"/>
      <c r="AP18" s="358"/>
      <c r="AQ18" s="168"/>
      <c r="AR18" s="166"/>
      <c r="AS18" s="167"/>
      <c r="AT18" s="166"/>
      <c r="AU18" s="166"/>
      <c r="AV18" s="165"/>
      <c r="AW18" s="164"/>
      <c r="AX18" s="163"/>
      <c r="AY18" s="161"/>
      <c r="AZ18" s="161"/>
      <c r="BA18" s="162"/>
      <c r="BB18" s="161"/>
      <c r="BC18" s="161"/>
      <c r="BD18" s="160"/>
      <c r="BE18" s="158"/>
      <c r="BF18" s="158"/>
      <c r="BG18" s="159"/>
      <c r="BH18" s="158"/>
      <c r="BI18" s="158"/>
      <c r="BJ18" s="158"/>
      <c r="BK18" s="158"/>
      <c r="BL18" s="158"/>
      <c r="BM18" s="157"/>
      <c r="BN18" s="156"/>
      <c r="BO18" s="156"/>
      <c r="BP18" s="156"/>
      <c r="BQ18" s="156"/>
      <c r="BR18" s="155"/>
      <c r="BS18" s="154"/>
      <c r="BT18" s="154"/>
      <c r="BU18" s="153"/>
      <c r="BV18" s="153"/>
      <c r="BW18" s="152"/>
      <c r="BX18" s="151"/>
      <c r="BY18" s="151"/>
      <c r="BZ18" s="151"/>
      <c r="CA18" s="151"/>
      <c r="CB18" s="150"/>
      <c r="CC18" s="149"/>
      <c r="CD18" s="149"/>
      <c r="CE18" s="149"/>
      <c r="CF18" s="148"/>
    </row>
    <row r="19" spans="1:84" ht="15" customHeight="1" x14ac:dyDescent="0.25">
      <c r="A19" s="354"/>
      <c r="B19" s="178"/>
      <c r="C19" s="177"/>
      <c r="D19" s="348"/>
      <c r="E19" s="337"/>
      <c r="F19" s="336"/>
      <c r="G19" s="337"/>
      <c r="H19" s="336"/>
      <c r="I19" s="180"/>
      <c r="J19" s="346"/>
      <c r="K19" s="346"/>
      <c r="L19" s="347"/>
      <c r="M19" s="336"/>
      <c r="N19" s="336"/>
      <c r="O19" s="336"/>
      <c r="P19" s="336"/>
      <c r="Q19" s="336"/>
      <c r="R19" s="346"/>
      <c r="S19" s="336"/>
      <c r="T19" s="346"/>
      <c r="U19" s="336"/>
      <c r="V19" s="346"/>
      <c r="W19" s="336"/>
      <c r="X19" s="348"/>
      <c r="Y19" s="336"/>
      <c r="Z19" s="336"/>
      <c r="AA19" s="336"/>
      <c r="AB19" s="336"/>
      <c r="AC19" s="336"/>
      <c r="AD19" s="336"/>
      <c r="AE19" s="336"/>
      <c r="AF19" s="336"/>
      <c r="AG19" s="336"/>
      <c r="AH19" s="346"/>
      <c r="AI19" s="336"/>
      <c r="AJ19" s="346"/>
      <c r="AK19" s="336"/>
      <c r="AL19" s="346"/>
      <c r="AM19" s="170"/>
      <c r="AN19" s="174"/>
      <c r="AO19" s="336"/>
      <c r="AP19" s="358"/>
      <c r="AQ19" s="168"/>
      <c r="AR19" s="166"/>
      <c r="AS19" s="167"/>
      <c r="AT19" s="166"/>
      <c r="AU19" s="166"/>
      <c r="AV19" s="165"/>
      <c r="AW19" s="164"/>
      <c r="AX19" s="163"/>
      <c r="AY19" s="161"/>
      <c r="AZ19" s="161"/>
      <c r="BA19" s="162"/>
      <c r="BB19" s="161"/>
      <c r="BC19" s="161"/>
      <c r="BD19" s="160"/>
      <c r="BE19" s="158"/>
      <c r="BF19" s="158"/>
      <c r="BG19" s="159"/>
      <c r="BH19" s="158"/>
      <c r="BI19" s="158"/>
      <c r="BJ19" s="158"/>
      <c r="BK19" s="158"/>
      <c r="BL19" s="158"/>
      <c r="BM19" s="157"/>
      <c r="BN19" s="156"/>
      <c r="BO19" s="156"/>
      <c r="BP19" s="156"/>
      <c r="BQ19" s="156"/>
      <c r="BR19" s="155"/>
      <c r="BS19" s="154"/>
      <c r="BT19" s="154"/>
      <c r="BU19" s="153"/>
      <c r="BV19" s="153"/>
      <c r="BW19" s="152"/>
      <c r="BX19" s="151"/>
      <c r="BY19" s="151"/>
      <c r="BZ19" s="151"/>
      <c r="CA19" s="151"/>
      <c r="CB19" s="150"/>
      <c r="CC19" s="149"/>
      <c r="CD19" s="149"/>
      <c r="CE19" s="149"/>
      <c r="CF19" s="148"/>
    </row>
    <row r="20" spans="1:84" ht="15" customHeight="1" x14ac:dyDescent="0.25">
      <c r="A20" s="354"/>
      <c r="B20" s="178"/>
      <c r="C20" s="177"/>
      <c r="D20" s="348"/>
      <c r="E20" s="337"/>
      <c r="F20" s="336"/>
      <c r="G20" s="337"/>
      <c r="H20" s="336"/>
      <c r="I20" s="180"/>
      <c r="J20" s="346"/>
      <c r="K20" s="346"/>
      <c r="L20" s="347"/>
      <c r="M20" s="336"/>
      <c r="N20" s="336"/>
      <c r="O20" s="336"/>
      <c r="P20" s="336"/>
      <c r="Q20" s="336"/>
      <c r="R20" s="346"/>
      <c r="S20" s="336"/>
      <c r="T20" s="346"/>
      <c r="U20" s="336"/>
      <c r="V20" s="346"/>
      <c r="W20" s="336"/>
      <c r="X20" s="348"/>
      <c r="Y20" s="336"/>
      <c r="Z20" s="336"/>
      <c r="AA20" s="336"/>
      <c r="AB20" s="336"/>
      <c r="AC20" s="336"/>
      <c r="AD20" s="336"/>
      <c r="AE20" s="336"/>
      <c r="AF20" s="336"/>
      <c r="AG20" s="336"/>
      <c r="AH20" s="346"/>
      <c r="AI20" s="336"/>
      <c r="AJ20" s="346"/>
      <c r="AK20" s="336"/>
      <c r="AL20" s="346"/>
      <c r="AM20" s="170"/>
      <c r="AN20" s="174"/>
      <c r="AO20" s="336"/>
      <c r="AP20" s="358"/>
      <c r="AQ20" s="168"/>
      <c r="AR20" s="166"/>
      <c r="AS20" s="167"/>
      <c r="AT20" s="166"/>
      <c r="AU20" s="166"/>
      <c r="AV20" s="165"/>
      <c r="AW20" s="164"/>
      <c r="AX20" s="163"/>
      <c r="AY20" s="161"/>
      <c r="AZ20" s="161"/>
      <c r="BA20" s="162"/>
      <c r="BB20" s="161"/>
      <c r="BC20" s="161"/>
      <c r="BD20" s="160"/>
      <c r="BE20" s="158"/>
      <c r="BF20" s="158"/>
      <c r="BG20" s="159"/>
      <c r="BH20" s="158"/>
      <c r="BI20" s="158"/>
      <c r="BJ20" s="158"/>
      <c r="BK20" s="158"/>
      <c r="BL20" s="158"/>
      <c r="BM20" s="157"/>
      <c r="BN20" s="156"/>
      <c r="BO20" s="156"/>
      <c r="BP20" s="156"/>
      <c r="BQ20" s="156"/>
      <c r="BR20" s="155"/>
      <c r="BS20" s="154"/>
      <c r="BT20" s="154"/>
      <c r="BU20" s="153"/>
      <c r="BV20" s="153"/>
      <c r="BW20" s="152"/>
      <c r="BX20" s="151"/>
      <c r="BY20" s="151"/>
      <c r="BZ20" s="151"/>
      <c r="CA20" s="151"/>
      <c r="CB20" s="150"/>
      <c r="CC20" s="149"/>
      <c r="CD20" s="149"/>
      <c r="CE20" s="149"/>
      <c r="CF20" s="148"/>
    </row>
    <row r="21" spans="1:84" ht="15" customHeight="1" x14ac:dyDescent="0.25">
      <c r="A21" s="354"/>
      <c r="B21" s="178"/>
      <c r="C21" s="177"/>
      <c r="D21" s="348"/>
      <c r="E21" s="337"/>
      <c r="F21" s="336"/>
      <c r="G21" s="337"/>
      <c r="H21" s="336"/>
      <c r="I21" s="180"/>
      <c r="J21" s="346"/>
      <c r="K21" s="346"/>
      <c r="L21" s="347"/>
      <c r="M21" s="336"/>
      <c r="N21" s="336"/>
      <c r="O21" s="336"/>
      <c r="P21" s="336"/>
      <c r="Q21" s="336"/>
      <c r="R21" s="346"/>
      <c r="S21" s="336"/>
      <c r="T21" s="346"/>
      <c r="U21" s="336"/>
      <c r="V21" s="346"/>
      <c r="W21" s="336"/>
      <c r="X21" s="348"/>
      <c r="Y21" s="336"/>
      <c r="Z21" s="336"/>
      <c r="AA21" s="336"/>
      <c r="AB21" s="336"/>
      <c r="AC21" s="336"/>
      <c r="AD21" s="336"/>
      <c r="AE21" s="336"/>
      <c r="AF21" s="336"/>
      <c r="AG21" s="336"/>
      <c r="AH21" s="346"/>
      <c r="AI21" s="336"/>
      <c r="AJ21" s="346"/>
      <c r="AK21" s="336"/>
      <c r="AL21" s="346"/>
      <c r="AM21" s="170"/>
      <c r="AN21" s="174"/>
      <c r="AO21" s="336"/>
      <c r="AP21" s="358"/>
      <c r="AQ21" s="168"/>
      <c r="AR21" s="166"/>
      <c r="AS21" s="167"/>
      <c r="AT21" s="166"/>
      <c r="AU21" s="166"/>
      <c r="AV21" s="165"/>
      <c r="AW21" s="164"/>
      <c r="AX21" s="163"/>
      <c r="AY21" s="161"/>
      <c r="AZ21" s="161"/>
      <c r="BA21" s="162"/>
      <c r="BB21" s="161"/>
      <c r="BC21" s="161"/>
      <c r="BD21" s="160"/>
      <c r="BE21" s="158"/>
      <c r="BF21" s="158"/>
      <c r="BG21" s="159"/>
      <c r="BH21" s="158"/>
      <c r="BI21" s="158"/>
      <c r="BJ21" s="158"/>
      <c r="BK21" s="158"/>
      <c r="BL21" s="158"/>
      <c r="BM21" s="157"/>
      <c r="BN21" s="156"/>
      <c r="BO21" s="156"/>
      <c r="BP21" s="156"/>
      <c r="BQ21" s="156"/>
      <c r="BR21" s="155"/>
      <c r="BS21" s="154"/>
      <c r="BT21" s="154"/>
      <c r="BU21" s="153"/>
      <c r="BV21" s="153"/>
      <c r="BW21" s="152"/>
      <c r="BX21" s="151"/>
      <c r="BY21" s="151"/>
      <c r="BZ21" s="151"/>
      <c r="CA21" s="151"/>
      <c r="CB21" s="150"/>
      <c r="CC21" s="149"/>
      <c r="CD21" s="149"/>
      <c r="CE21" s="149"/>
      <c r="CF21" s="148"/>
    </row>
    <row r="22" spans="1:84" ht="15" customHeight="1" x14ac:dyDescent="0.25">
      <c r="A22" s="354"/>
      <c r="B22" s="178"/>
      <c r="C22" s="177"/>
      <c r="D22" s="348"/>
      <c r="E22" s="337"/>
      <c r="F22" s="336"/>
      <c r="G22" s="337"/>
      <c r="H22" s="336"/>
      <c r="I22" s="180"/>
      <c r="J22" s="346"/>
      <c r="K22" s="346"/>
      <c r="L22" s="347"/>
      <c r="M22" s="336"/>
      <c r="N22" s="336"/>
      <c r="O22" s="336"/>
      <c r="P22" s="336"/>
      <c r="Q22" s="336"/>
      <c r="R22" s="346"/>
      <c r="S22" s="336"/>
      <c r="T22" s="346"/>
      <c r="U22" s="336"/>
      <c r="V22" s="346"/>
      <c r="W22" s="336"/>
      <c r="X22" s="348"/>
      <c r="Y22" s="336"/>
      <c r="Z22" s="336"/>
      <c r="AA22" s="336"/>
      <c r="AB22" s="336"/>
      <c r="AC22" s="336"/>
      <c r="AD22" s="336"/>
      <c r="AE22" s="336"/>
      <c r="AF22" s="336"/>
      <c r="AG22" s="336"/>
      <c r="AH22" s="346"/>
      <c r="AI22" s="336"/>
      <c r="AJ22" s="346"/>
      <c r="AK22" s="336"/>
      <c r="AL22" s="346"/>
      <c r="AM22" s="170"/>
      <c r="AN22" s="174"/>
      <c r="AO22" s="336"/>
      <c r="AP22" s="358"/>
      <c r="AQ22" s="168"/>
      <c r="AR22" s="166"/>
      <c r="AS22" s="167"/>
      <c r="AT22" s="166"/>
      <c r="AU22" s="166"/>
      <c r="AV22" s="165"/>
      <c r="AW22" s="164"/>
      <c r="AX22" s="163"/>
      <c r="AY22" s="161"/>
      <c r="AZ22" s="161"/>
      <c r="BA22" s="162"/>
      <c r="BB22" s="161"/>
      <c r="BC22" s="161"/>
      <c r="BD22" s="160"/>
      <c r="BE22" s="158"/>
      <c r="BF22" s="158"/>
      <c r="BG22" s="159"/>
      <c r="BH22" s="158"/>
      <c r="BI22" s="158"/>
      <c r="BJ22" s="158"/>
      <c r="BK22" s="158"/>
      <c r="BL22" s="158"/>
      <c r="BM22" s="157"/>
      <c r="BN22" s="156"/>
      <c r="BO22" s="156"/>
      <c r="BP22" s="156"/>
      <c r="BQ22" s="156"/>
      <c r="BR22" s="155"/>
      <c r="BS22" s="154"/>
      <c r="BT22" s="154"/>
      <c r="BU22" s="153"/>
      <c r="BV22" s="153"/>
      <c r="BW22" s="152"/>
      <c r="BX22" s="151"/>
      <c r="BY22" s="151"/>
      <c r="BZ22" s="151"/>
      <c r="CA22" s="151"/>
      <c r="CB22" s="150"/>
      <c r="CC22" s="149"/>
      <c r="CD22" s="149"/>
      <c r="CE22" s="149"/>
      <c r="CF22" s="148"/>
    </row>
    <row r="23" spans="1:84" ht="15" customHeight="1" x14ac:dyDescent="0.25">
      <c r="A23" s="354"/>
      <c r="B23" s="178"/>
      <c r="C23" s="177"/>
      <c r="D23" s="348"/>
      <c r="E23" s="337"/>
      <c r="F23" s="336"/>
      <c r="G23" s="337"/>
      <c r="H23" s="336"/>
      <c r="I23" s="180"/>
      <c r="J23" s="346"/>
      <c r="K23" s="346"/>
      <c r="L23" s="347"/>
      <c r="M23" s="336"/>
      <c r="N23" s="336"/>
      <c r="O23" s="336"/>
      <c r="P23" s="336"/>
      <c r="Q23" s="336"/>
      <c r="R23" s="346"/>
      <c r="S23" s="336"/>
      <c r="T23" s="346"/>
      <c r="U23" s="336"/>
      <c r="V23" s="346"/>
      <c r="W23" s="336"/>
      <c r="X23" s="348"/>
      <c r="Y23" s="336"/>
      <c r="Z23" s="336"/>
      <c r="AA23" s="336"/>
      <c r="AB23" s="336"/>
      <c r="AC23" s="336"/>
      <c r="AD23" s="336"/>
      <c r="AE23" s="336"/>
      <c r="AF23" s="336"/>
      <c r="AG23" s="336"/>
      <c r="AH23" s="346"/>
      <c r="AI23" s="336"/>
      <c r="AJ23" s="346"/>
      <c r="AK23" s="336"/>
      <c r="AL23" s="346"/>
      <c r="AM23" s="170"/>
      <c r="AN23" s="174"/>
      <c r="AO23" s="336"/>
      <c r="AP23" s="358"/>
      <c r="AQ23" s="168"/>
      <c r="AR23" s="166"/>
      <c r="AS23" s="167"/>
      <c r="AT23" s="166"/>
      <c r="AU23" s="166"/>
      <c r="AV23" s="165"/>
      <c r="AW23" s="164"/>
      <c r="AX23" s="163"/>
      <c r="AY23" s="161"/>
      <c r="AZ23" s="161"/>
      <c r="BA23" s="162"/>
      <c r="BB23" s="161"/>
      <c r="BC23" s="161"/>
      <c r="BD23" s="160"/>
      <c r="BE23" s="158"/>
      <c r="BF23" s="158"/>
      <c r="BG23" s="159"/>
      <c r="BH23" s="158"/>
      <c r="BI23" s="158"/>
      <c r="BJ23" s="158"/>
      <c r="BK23" s="158"/>
      <c r="BL23" s="158"/>
      <c r="BM23" s="157"/>
      <c r="BN23" s="156"/>
      <c r="BO23" s="156"/>
      <c r="BP23" s="156"/>
      <c r="BQ23" s="156"/>
      <c r="BR23" s="155"/>
      <c r="BS23" s="154"/>
      <c r="BT23" s="154"/>
      <c r="BU23" s="153"/>
      <c r="BV23" s="153"/>
      <c r="BW23" s="152"/>
      <c r="BX23" s="151"/>
      <c r="BY23" s="151"/>
      <c r="BZ23" s="151"/>
      <c r="CA23" s="151"/>
      <c r="CB23" s="150"/>
      <c r="CC23" s="149"/>
      <c r="CD23" s="149"/>
      <c r="CE23" s="149"/>
      <c r="CF23" s="148"/>
    </row>
    <row r="24" spans="1:84" ht="15" customHeight="1" x14ac:dyDescent="0.25">
      <c r="A24" s="354"/>
      <c r="B24" s="178"/>
      <c r="C24" s="177"/>
      <c r="D24" s="348"/>
      <c r="E24" s="337"/>
      <c r="F24" s="336"/>
      <c r="G24" s="337"/>
      <c r="H24" s="336"/>
      <c r="I24" s="180"/>
      <c r="J24" s="346"/>
      <c r="K24" s="346"/>
      <c r="L24" s="347"/>
      <c r="M24" s="336"/>
      <c r="N24" s="336"/>
      <c r="O24" s="336"/>
      <c r="P24" s="336"/>
      <c r="Q24" s="336"/>
      <c r="R24" s="346"/>
      <c r="S24" s="336"/>
      <c r="T24" s="346"/>
      <c r="U24" s="336"/>
      <c r="V24" s="346"/>
      <c r="W24" s="336"/>
      <c r="X24" s="348"/>
      <c r="Y24" s="336"/>
      <c r="Z24" s="336"/>
      <c r="AA24" s="336"/>
      <c r="AB24" s="336"/>
      <c r="AC24" s="336"/>
      <c r="AD24" s="336"/>
      <c r="AE24" s="336"/>
      <c r="AF24" s="336"/>
      <c r="AG24" s="336"/>
      <c r="AH24" s="346"/>
      <c r="AI24" s="336"/>
      <c r="AJ24" s="346"/>
      <c r="AK24" s="336"/>
      <c r="AL24" s="346"/>
      <c r="AM24" s="170"/>
      <c r="AN24" s="174"/>
      <c r="AO24" s="336"/>
      <c r="AP24" s="358"/>
      <c r="AQ24" s="168"/>
      <c r="AR24" s="166"/>
      <c r="AS24" s="167"/>
      <c r="AT24" s="166"/>
      <c r="AU24" s="166"/>
      <c r="AV24" s="165"/>
      <c r="AW24" s="164"/>
      <c r="AX24" s="163"/>
      <c r="AY24" s="161"/>
      <c r="AZ24" s="161"/>
      <c r="BA24" s="162"/>
      <c r="BB24" s="161"/>
      <c r="BC24" s="161"/>
      <c r="BD24" s="160"/>
      <c r="BE24" s="158"/>
      <c r="BF24" s="158"/>
      <c r="BG24" s="159"/>
      <c r="BH24" s="158"/>
      <c r="BI24" s="158"/>
      <c r="BJ24" s="158"/>
      <c r="BK24" s="158"/>
      <c r="BL24" s="158"/>
      <c r="BM24" s="157"/>
      <c r="BN24" s="156"/>
      <c r="BO24" s="156"/>
      <c r="BP24" s="156"/>
      <c r="BQ24" s="156"/>
      <c r="BR24" s="155"/>
      <c r="BS24" s="154"/>
      <c r="BT24" s="154"/>
      <c r="BU24" s="153"/>
      <c r="BV24" s="153"/>
      <c r="BW24" s="152"/>
      <c r="BX24" s="151"/>
      <c r="BY24" s="151"/>
      <c r="BZ24" s="151"/>
      <c r="CA24" s="151"/>
      <c r="CB24" s="150"/>
      <c r="CC24" s="149"/>
      <c r="CD24" s="149"/>
      <c r="CE24" s="149"/>
      <c r="CF24" s="148"/>
    </row>
    <row r="25" spans="1:84" ht="15" customHeight="1" x14ac:dyDescent="0.25">
      <c r="A25" s="354"/>
      <c r="B25" s="178"/>
      <c r="C25" s="177"/>
      <c r="D25" s="348"/>
      <c r="E25" s="337"/>
      <c r="F25" s="336"/>
      <c r="G25" s="337"/>
      <c r="H25" s="336"/>
      <c r="I25" s="180"/>
      <c r="J25" s="346"/>
      <c r="K25" s="346"/>
      <c r="L25" s="347"/>
      <c r="M25" s="336"/>
      <c r="N25" s="336"/>
      <c r="O25" s="336"/>
      <c r="P25" s="336"/>
      <c r="Q25" s="336"/>
      <c r="R25" s="346"/>
      <c r="S25" s="336"/>
      <c r="T25" s="346"/>
      <c r="U25" s="336"/>
      <c r="V25" s="346"/>
      <c r="W25" s="336"/>
      <c r="X25" s="348"/>
      <c r="Y25" s="336"/>
      <c r="Z25" s="336"/>
      <c r="AA25" s="336"/>
      <c r="AB25" s="336"/>
      <c r="AC25" s="336"/>
      <c r="AD25" s="336"/>
      <c r="AE25" s="336"/>
      <c r="AF25" s="336"/>
      <c r="AG25" s="336"/>
      <c r="AH25" s="346"/>
      <c r="AI25" s="336"/>
      <c r="AJ25" s="346"/>
      <c r="AK25" s="336"/>
      <c r="AL25" s="346"/>
      <c r="AM25" s="170"/>
      <c r="AN25" s="174"/>
      <c r="AO25" s="336"/>
      <c r="AP25" s="358"/>
      <c r="AQ25" s="168"/>
      <c r="AR25" s="166"/>
      <c r="AS25" s="167"/>
      <c r="AT25" s="166"/>
      <c r="AU25" s="166"/>
      <c r="AV25" s="165"/>
      <c r="AW25" s="164"/>
      <c r="AX25" s="163"/>
      <c r="AY25" s="161"/>
      <c r="AZ25" s="161"/>
      <c r="BA25" s="162"/>
      <c r="BB25" s="161"/>
      <c r="BC25" s="161"/>
      <c r="BD25" s="160"/>
      <c r="BE25" s="158"/>
      <c r="BF25" s="158"/>
      <c r="BG25" s="159"/>
      <c r="BH25" s="158"/>
      <c r="BI25" s="158"/>
      <c r="BJ25" s="158"/>
      <c r="BK25" s="158"/>
      <c r="BL25" s="158"/>
      <c r="BM25" s="157"/>
      <c r="BN25" s="156"/>
      <c r="BO25" s="156"/>
      <c r="BP25" s="156"/>
      <c r="BQ25" s="156"/>
      <c r="BR25" s="155"/>
      <c r="BS25" s="154"/>
      <c r="BT25" s="154"/>
      <c r="BU25" s="153"/>
      <c r="BV25" s="153"/>
      <c r="BW25" s="152"/>
      <c r="BX25" s="151"/>
      <c r="BY25" s="151"/>
      <c r="BZ25" s="151"/>
      <c r="CA25" s="151"/>
      <c r="CB25" s="150"/>
      <c r="CC25" s="149"/>
      <c r="CD25" s="149"/>
      <c r="CE25" s="149"/>
      <c r="CF25" s="148"/>
    </row>
    <row r="26" spans="1:84" ht="15" customHeight="1" x14ac:dyDescent="0.25">
      <c r="A26" s="354"/>
      <c r="B26" s="178"/>
      <c r="C26" s="177"/>
      <c r="D26" s="348"/>
      <c r="E26" s="337"/>
      <c r="F26" s="336"/>
      <c r="G26" s="337"/>
      <c r="H26" s="336"/>
      <c r="I26" s="180"/>
      <c r="J26" s="346"/>
      <c r="K26" s="346"/>
      <c r="L26" s="347"/>
      <c r="M26" s="336"/>
      <c r="N26" s="336"/>
      <c r="O26" s="336"/>
      <c r="P26" s="336"/>
      <c r="Q26" s="336"/>
      <c r="R26" s="346"/>
      <c r="S26" s="336"/>
      <c r="T26" s="346"/>
      <c r="U26" s="336"/>
      <c r="V26" s="346"/>
      <c r="W26" s="336"/>
      <c r="X26" s="348"/>
      <c r="Y26" s="336"/>
      <c r="Z26" s="336"/>
      <c r="AA26" s="336"/>
      <c r="AB26" s="336"/>
      <c r="AC26" s="336"/>
      <c r="AD26" s="336"/>
      <c r="AE26" s="336"/>
      <c r="AF26" s="336"/>
      <c r="AG26" s="336"/>
      <c r="AH26" s="346"/>
      <c r="AI26" s="336"/>
      <c r="AJ26" s="346"/>
      <c r="AK26" s="336"/>
      <c r="AL26" s="346"/>
      <c r="AM26" s="170"/>
      <c r="AN26" s="174"/>
      <c r="AO26" s="336"/>
      <c r="AP26" s="358"/>
      <c r="AQ26" s="168"/>
      <c r="AR26" s="166"/>
      <c r="AS26" s="167"/>
      <c r="AT26" s="166"/>
      <c r="AU26" s="166"/>
      <c r="AV26" s="165"/>
      <c r="AW26" s="164"/>
      <c r="AX26" s="163"/>
      <c r="AY26" s="161"/>
      <c r="AZ26" s="161"/>
      <c r="BA26" s="162"/>
      <c r="BB26" s="161"/>
      <c r="BC26" s="161"/>
      <c r="BD26" s="160"/>
      <c r="BE26" s="158"/>
      <c r="BF26" s="158"/>
      <c r="BG26" s="159"/>
      <c r="BH26" s="158"/>
      <c r="BI26" s="158"/>
      <c r="BJ26" s="158"/>
      <c r="BK26" s="158"/>
      <c r="BL26" s="158"/>
      <c r="BM26" s="157"/>
      <c r="BN26" s="156"/>
      <c r="BO26" s="156"/>
      <c r="BP26" s="156"/>
      <c r="BQ26" s="156"/>
      <c r="BR26" s="155"/>
      <c r="BS26" s="154"/>
      <c r="BT26" s="154"/>
      <c r="BU26" s="153"/>
      <c r="BV26" s="153"/>
      <c r="BW26" s="152"/>
      <c r="BX26" s="151"/>
      <c r="BY26" s="151"/>
      <c r="BZ26" s="151"/>
      <c r="CA26" s="151"/>
      <c r="CB26" s="150"/>
      <c r="CC26" s="149"/>
      <c r="CD26" s="149"/>
      <c r="CE26" s="149"/>
      <c r="CF26" s="148"/>
    </row>
    <row r="27" spans="1:84" ht="15" customHeight="1" x14ac:dyDescent="0.25">
      <c r="A27" s="354"/>
      <c r="B27" s="178"/>
      <c r="C27" s="177"/>
      <c r="D27" s="348"/>
      <c r="E27" s="337"/>
      <c r="F27" s="336"/>
      <c r="G27" s="337"/>
      <c r="H27" s="336"/>
      <c r="I27" s="180"/>
      <c r="J27" s="346"/>
      <c r="K27" s="346"/>
      <c r="L27" s="347"/>
      <c r="M27" s="336"/>
      <c r="N27" s="336"/>
      <c r="O27" s="336"/>
      <c r="P27" s="336"/>
      <c r="Q27" s="336"/>
      <c r="R27" s="346"/>
      <c r="S27" s="336"/>
      <c r="T27" s="346"/>
      <c r="U27" s="336"/>
      <c r="V27" s="346"/>
      <c r="W27" s="336"/>
      <c r="X27" s="348"/>
      <c r="Y27" s="336"/>
      <c r="Z27" s="336"/>
      <c r="AA27" s="336"/>
      <c r="AB27" s="336"/>
      <c r="AC27" s="336"/>
      <c r="AD27" s="336"/>
      <c r="AE27" s="336"/>
      <c r="AF27" s="336"/>
      <c r="AG27" s="336"/>
      <c r="AH27" s="346"/>
      <c r="AI27" s="336"/>
      <c r="AJ27" s="346"/>
      <c r="AK27" s="336"/>
      <c r="AL27" s="346"/>
      <c r="AM27" s="170"/>
      <c r="AN27" s="174"/>
      <c r="AO27" s="336"/>
      <c r="AP27" s="358"/>
      <c r="AQ27" s="168"/>
      <c r="AR27" s="166"/>
      <c r="AS27" s="167"/>
      <c r="AT27" s="166"/>
      <c r="AU27" s="166"/>
      <c r="AV27" s="165"/>
      <c r="AW27" s="164"/>
      <c r="AX27" s="163"/>
      <c r="AY27" s="161"/>
      <c r="AZ27" s="161"/>
      <c r="BA27" s="162"/>
      <c r="BB27" s="161"/>
      <c r="BC27" s="161"/>
      <c r="BD27" s="160"/>
      <c r="BE27" s="158"/>
      <c r="BF27" s="158"/>
      <c r="BG27" s="159"/>
      <c r="BH27" s="158"/>
      <c r="BI27" s="158"/>
      <c r="BJ27" s="158"/>
      <c r="BK27" s="158"/>
      <c r="BL27" s="158"/>
      <c r="BM27" s="157"/>
      <c r="BN27" s="156"/>
      <c r="BO27" s="156"/>
      <c r="BP27" s="156"/>
      <c r="BQ27" s="156"/>
      <c r="BR27" s="155"/>
      <c r="BS27" s="154"/>
      <c r="BT27" s="154"/>
      <c r="BU27" s="153"/>
      <c r="BV27" s="153"/>
      <c r="BW27" s="152"/>
      <c r="BX27" s="151"/>
      <c r="BY27" s="151"/>
      <c r="BZ27" s="151"/>
      <c r="CA27" s="151"/>
      <c r="CB27" s="150"/>
      <c r="CC27" s="149"/>
      <c r="CD27" s="149"/>
      <c r="CE27" s="149"/>
      <c r="CF27" s="148"/>
    </row>
    <row r="28" spans="1:84" ht="15" customHeight="1" x14ac:dyDescent="0.25">
      <c r="A28" s="354"/>
      <c r="B28" s="178"/>
      <c r="C28" s="177"/>
      <c r="D28" s="348"/>
      <c r="E28" s="337"/>
      <c r="F28" s="336"/>
      <c r="G28" s="337"/>
      <c r="H28" s="336"/>
      <c r="I28" s="180"/>
      <c r="J28" s="346"/>
      <c r="K28" s="346"/>
      <c r="L28" s="347"/>
      <c r="M28" s="336"/>
      <c r="N28" s="336"/>
      <c r="O28" s="336"/>
      <c r="P28" s="336"/>
      <c r="Q28" s="336"/>
      <c r="R28" s="346"/>
      <c r="S28" s="336"/>
      <c r="T28" s="346"/>
      <c r="U28" s="336"/>
      <c r="V28" s="346"/>
      <c r="W28" s="336"/>
      <c r="X28" s="348"/>
      <c r="Y28" s="336"/>
      <c r="Z28" s="336"/>
      <c r="AA28" s="336"/>
      <c r="AB28" s="336"/>
      <c r="AC28" s="336"/>
      <c r="AD28" s="336"/>
      <c r="AE28" s="336"/>
      <c r="AF28" s="336"/>
      <c r="AG28" s="336"/>
      <c r="AH28" s="346"/>
      <c r="AI28" s="336"/>
      <c r="AJ28" s="346"/>
      <c r="AK28" s="336"/>
      <c r="AL28" s="346"/>
      <c r="AM28" s="170"/>
      <c r="AN28" s="174"/>
      <c r="AO28" s="336"/>
      <c r="AP28" s="358"/>
      <c r="AQ28" s="168"/>
      <c r="AR28" s="166"/>
      <c r="AS28" s="167"/>
      <c r="AT28" s="166"/>
      <c r="AU28" s="166"/>
      <c r="AV28" s="165"/>
      <c r="AW28" s="164"/>
      <c r="AX28" s="163"/>
      <c r="AY28" s="161"/>
      <c r="AZ28" s="161"/>
      <c r="BA28" s="162"/>
      <c r="BB28" s="161"/>
      <c r="BC28" s="161"/>
      <c r="BD28" s="160"/>
      <c r="BE28" s="158"/>
      <c r="BF28" s="158"/>
      <c r="BG28" s="159"/>
      <c r="BH28" s="158"/>
      <c r="BI28" s="158"/>
      <c r="BJ28" s="158"/>
      <c r="BK28" s="158"/>
      <c r="BL28" s="158"/>
      <c r="BM28" s="157"/>
      <c r="BN28" s="156"/>
      <c r="BO28" s="156"/>
      <c r="BP28" s="156"/>
      <c r="BQ28" s="156"/>
      <c r="BR28" s="155"/>
      <c r="BS28" s="154"/>
      <c r="BT28" s="154"/>
      <c r="BU28" s="153"/>
      <c r="BV28" s="153"/>
      <c r="BW28" s="152"/>
      <c r="BX28" s="151"/>
      <c r="BY28" s="151"/>
      <c r="BZ28" s="151"/>
      <c r="CA28" s="151"/>
      <c r="CB28" s="150"/>
      <c r="CC28" s="149"/>
      <c r="CD28" s="149"/>
      <c r="CE28" s="149"/>
      <c r="CF28" s="148"/>
    </row>
    <row r="29" spans="1:84" ht="15" customHeight="1" x14ac:dyDescent="0.25">
      <c r="A29" s="354"/>
      <c r="B29" s="178"/>
      <c r="C29" s="177"/>
      <c r="D29" s="348"/>
      <c r="E29" s="337"/>
      <c r="F29" s="336"/>
      <c r="G29" s="337"/>
      <c r="H29" s="336"/>
      <c r="I29" s="180"/>
      <c r="J29" s="346"/>
      <c r="K29" s="346"/>
      <c r="L29" s="347"/>
      <c r="M29" s="336"/>
      <c r="N29" s="336"/>
      <c r="O29" s="336"/>
      <c r="P29" s="336"/>
      <c r="Q29" s="336"/>
      <c r="R29" s="346"/>
      <c r="S29" s="336"/>
      <c r="T29" s="346"/>
      <c r="U29" s="336"/>
      <c r="V29" s="346"/>
      <c r="W29" s="336"/>
      <c r="X29" s="348"/>
      <c r="Y29" s="336"/>
      <c r="Z29" s="336"/>
      <c r="AA29" s="336"/>
      <c r="AB29" s="336"/>
      <c r="AC29" s="336"/>
      <c r="AD29" s="336"/>
      <c r="AE29" s="336"/>
      <c r="AF29" s="336"/>
      <c r="AG29" s="336"/>
      <c r="AH29" s="346"/>
      <c r="AI29" s="336"/>
      <c r="AJ29" s="346"/>
      <c r="AK29" s="336"/>
      <c r="AL29" s="346"/>
      <c r="AM29" s="170"/>
      <c r="AN29" s="174"/>
      <c r="AO29" s="336"/>
      <c r="AP29" s="358"/>
      <c r="AQ29" s="168"/>
      <c r="AR29" s="166"/>
      <c r="AS29" s="167"/>
      <c r="AT29" s="166"/>
      <c r="AU29" s="166"/>
      <c r="AV29" s="165"/>
      <c r="AW29" s="164"/>
      <c r="AX29" s="163"/>
      <c r="AY29" s="161"/>
      <c r="AZ29" s="161"/>
      <c r="BA29" s="162"/>
      <c r="BB29" s="161"/>
      <c r="BC29" s="161"/>
      <c r="BD29" s="160"/>
      <c r="BE29" s="158"/>
      <c r="BF29" s="158"/>
      <c r="BG29" s="159"/>
      <c r="BH29" s="158"/>
      <c r="BI29" s="158"/>
      <c r="BJ29" s="158"/>
      <c r="BK29" s="158"/>
      <c r="BL29" s="158"/>
      <c r="BM29" s="157"/>
      <c r="BN29" s="156"/>
      <c r="BO29" s="156"/>
      <c r="BP29" s="156"/>
      <c r="BQ29" s="156"/>
      <c r="BR29" s="155"/>
      <c r="BS29" s="154"/>
      <c r="BT29" s="154"/>
      <c r="BU29" s="153"/>
      <c r="BV29" s="153"/>
      <c r="BW29" s="152"/>
      <c r="BX29" s="151"/>
      <c r="BY29" s="151"/>
      <c r="BZ29" s="151"/>
      <c r="CA29" s="151"/>
      <c r="CB29" s="150"/>
      <c r="CC29" s="149"/>
      <c r="CD29" s="149"/>
      <c r="CE29" s="149"/>
      <c r="CF29" s="148"/>
    </row>
    <row r="30" spans="1:84" ht="15" customHeight="1" x14ac:dyDescent="0.25">
      <c r="A30" s="354"/>
      <c r="B30" s="178"/>
      <c r="C30" s="177"/>
      <c r="D30" s="348"/>
      <c r="E30" s="337"/>
      <c r="F30" s="336"/>
      <c r="G30" s="337"/>
      <c r="H30" s="336"/>
      <c r="I30" s="180"/>
      <c r="J30" s="346"/>
      <c r="K30" s="346"/>
      <c r="L30" s="347"/>
      <c r="M30" s="336"/>
      <c r="N30" s="336"/>
      <c r="O30" s="336"/>
      <c r="P30" s="336"/>
      <c r="Q30" s="336"/>
      <c r="R30" s="346"/>
      <c r="S30" s="336"/>
      <c r="T30" s="346"/>
      <c r="U30" s="336"/>
      <c r="V30" s="346"/>
      <c r="W30" s="336"/>
      <c r="X30" s="348"/>
      <c r="Y30" s="336"/>
      <c r="Z30" s="336"/>
      <c r="AA30" s="336"/>
      <c r="AB30" s="336"/>
      <c r="AC30" s="336"/>
      <c r="AD30" s="336"/>
      <c r="AE30" s="336"/>
      <c r="AF30" s="336"/>
      <c r="AG30" s="336"/>
      <c r="AH30" s="346"/>
      <c r="AI30" s="336"/>
      <c r="AJ30" s="346"/>
      <c r="AK30" s="336"/>
      <c r="AL30" s="346"/>
      <c r="AM30" s="170"/>
      <c r="AN30" s="174"/>
      <c r="AO30" s="336"/>
      <c r="AP30" s="358"/>
      <c r="AQ30" s="168"/>
      <c r="AR30" s="166"/>
      <c r="AS30" s="167"/>
      <c r="AT30" s="166"/>
      <c r="AU30" s="166"/>
      <c r="AV30" s="165"/>
      <c r="AW30" s="164"/>
      <c r="AX30" s="163"/>
      <c r="AY30" s="161"/>
      <c r="AZ30" s="161"/>
      <c r="BA30" s="162"/>
      <c r="BB30" s="161"/>
      <c r="BC30" s="161"/>
      <c r="BD30" s="160"/>
      <c r="BE30" s="158"/>
      <c r="BF30" s="158"/>
      <c r="BG30" s="159"/>
      <c r="BH30" s="158"/>
      <c r="BI30" s="158"/>
      <c r="BJ30" s="158"/>
      <c r="BK30" s="158"/>
      <c r="BL30" s="158"/>
      <c r="BM30" s="157"/>
      <c r="BN30" s="156"/>
      <c r="BO30" s="156"/>
      <c r="BP30" s="156"/>
      <c r="BQ30" s="156"/>
      <c r="BR30" s="155"/>
      <c r="BS30" s="154"/>
      <c r="BT30" s="154"/>
      <c r="BU30" s="153"/>
      <c r="BV30" s="153"/>
      <c r="BW30" s="152"/>
      <c r="BX30" s="151"/>
      <c r="BY30" s="151"/>
      <c r="BZ30" s="151"/>
      <c r="CA30" s="151"/>
      <c r="CB30" s="150"/>
      <c r="CC30" s="149"/>
      <c r="CD30" s="149"/>
      <c r="CE30" s="149"/>
      <c r="CF30" s="148"/>
    </row>
    <row r="31" spans="1:84" ht="15" customHeight="1" x14ac:dyDescent="0.25">
      <c r="A31" s="354"/>
      <c r="B31" s="178"/>
      <c r="C31" s="177"/>
      <c r="D31" s="348"/>
      <c r="E31" s="337"/>
      <c r="F31" s="336"/>
      <c r="G31" s="337"/>
      <c r="H31" s="336"/>
      <c r="I31" s="180"/>
      <c r="J31" s="346"/>
      <c r="K31" s="346"/>
      <c r="L31" s="347"/>
      <c r="M31" s="336"/>
      <c r="N31" s="336"/>
      <c r="O31" s="336"/>
      <c r="P31" s="336"/>
      <c r="Q31" s="336"/>
      <c r="R31" s="346"/>
      <c r="S31" s="336"/>
      <c r="T31" s="346"/>
      <c r="U31" s="336"/>
      <c r="V31" s="346"/>
      <c r="W31" s="336"/>
      <c r="X31" s="348"/>
      <c r="Y31" s="336"/>
      <c r="Z31" s="336"/>
      <c r="AA31" s="336"/>
      <c r="AB31" s="336"/>
      <c r="AC31" s="336"/>
      <c r="AD31" s="336"/>
      <c r="AE31" s="336"/>
      <c r="AF31" s="336"/>
      <c r="AG31" s="336"/>
      <c r="AH31" s="346"/>
      <c r="AI31" s="336"/>
      <c r="AJ31" s="346"/>
      <c r="AK31" s="336"/>
      <c r="AL31" s="346"/>
      <c r="AM31" s="170"/>
      <c r="AN31" s="174"/>
      <c r="AO31" s="336"/>
      <c r="AP31" s="358"/>
      <c r="AQ31" s="168"/>
      <c r="AR31" s="166"/>
      <c r="AS31" s="167"/>
      <c r="AT31" s="166"/>
      <c r="AU31" s="166"/>
      <c r="AV31" s="165"/>
      <c r="AW31" s="164"/>
      <c r="AX31" s="163"/>
      <c r="AY31" s="161"/>
      <c r="AZ31" s="161"/>
      <c r="BA31" s="162"/>
      <c r="BB31" s="161"/>
      <c r="BC31" s="161"/>
      <c r="BD31" s="160"/>
      <c r="BE31" s="158"/>
      <c r="BF31" s="158"/>
      <c r="BG31" s="159"/>
      <c r="BH31" s="158"/>
      <c r="BI31" s="158"/>
      <c r="BJ31" s="158"/>
      <c r="BK31" s="158"/>
      <c r="BL31" s="158"/>
      <c r="BM31" s="157"/>
      <c r="BN31" s="156"/>
      <c r="BO31" s="156"/>
      <c r="BP31" s="156"/>
      <c r="BQ31" s="156"/>
      <c r="BR31" s="155"/>
      <c r="BS31" s="154"/>
      <c r="BT31" s="154"/>
      <c r="BU31" s="153"/>
      <c r="BV31" s="153"/>
      <c r="BW31" s="152"/>
      <c r="BX31" s="151"/>
      <c r="BY31" s="151"/>
      <c r="BZ31" s="151"/>
      <c r="CA31" s="151"/>
      <c r="CB31" s="150"/>
      <c r="CC31" s="149"/>
      <c r="CD31" s="149"/>
      <c r="CE31" s="149"/>
      <c r="CF31" s="148"/>
    </row>
    <row r="32" spans="1:84" ht="15" customHeight="1" x14ac:dyDescent="0.25">
      <c r="A32" s="354"/>
      <c r="B32" s="178"/>
      <c r="C32" s="177"/>
      <c r="D32" s="348"/>
      <c r="E32" s="337"/>
      <c r="F32" s="336"/>
      <c r="G32" s="337"/>
      <c r="H32" s="336"/>
      <c r="I32" s="180"/>
      <c r="J32" s="346"/>
      <c r="K32" s="346"/>
      <c r="L32" s="347"/>
      <c r="M32" s="336"/>
      <c r="N32" s="336"/>
      <c r="O32" s="336"/>
      <c r="P32" s="336"/>
      <c r="Q32" s="336"/>
      <c r="R32" s="346"/>
      <c r="S32" s="336"/>
      <c r="T32" s="346"/>
      <c r="U32" s="336"/>
      <c r="V32" s="346"/>
      <c r="W32" s="336"/>
      <c r="X32" s="348"/>
      <c r="Y32" s="336"/>
      <c r="Z32" s="336"/>
      <c r="AA32" s="336"/>
      <c r="AB32" s="336"/>
      <c r="AC32" s="336"/>
      <c r="AD32" s="336"/>
      <c r="AE32" s="336"/>
      <c r="AF32" s="336"/>
      <c r="AG32" s="336"/>
      <c r="AH32" s="346"/>
      <c r="AI32" s="336"/>
      <c r="AJ32" s="346"/>
      <c r="AK32" s="336"/>
      <c r="AL32" s="346"/>
      <c r="AM32" s="170"/>
      <c r="AN32" s="174"/>
      <c r="AO32" s="336"/>
      <c r="AP32" s="358"/>
      <c r="AQ32" s="168"/>
      <c r="AR32" s="166"/>
      <c r="AS32" s="167"/>
      <c r="AT32" s="166"/>
      <c r="AU32" s="166"/>
      <c r="AV32" s="165"/>
      <c r="AW32" s="164"/>
      <c r="AX32" s="163"/>
      <c r="AY32" s="161"/>
      <c r="AZ32" s="161"/>
      <c r="BA32" s="162"/>
      <c r="BB32" s="161"/>
      <c r="BC32" s="161"/>
      <c r="BD32" s="160"/>
      <c r="BE32" s="158"/>
      <c r="BF32" s="158"/>
      <c r="BG32" s="159"/>
      <c r="BH32" s="158"/>
      <c r="BI32" s="158"/>
      <c r="BJ32" s="158"/>
      <c r="BK32" s="158"/>
      <c r="BL32" s="158"/>
      <c r="BM32" s="157"/>
      <c r="BN32" s="156"/>
      <c r="BO32" s="156"/>
      <c r="BP32" s="156"/>
      <c r="BQ32" s="156"/>
      <c r="BR32" s="155"/>
      <c r="BS32" s="154"/>
      <c r="BT32" s="154"/>
      <c r="BU32" s="153"/>
      <c r="BV32" s="153"/>
      <c r="BW32" s="152"/>
      <c r="BX32" s="151"/>
      <c r="BY32" s="151"/>
      <c r="BZ32" s="151"/>
      <c r="CA32" s="151"/>
      <c r="CB32" s="150"/>
      <c r="CC32" s="149"/>
      <c r="CD32" s="149"/>
      <c r="CE32" s="149"/>
      <c r="CF32" s="148"/>
    </row>
    <row r="33" spans="1:84" ht="15" customHeight="1" x14ac:dyDescent="0.25">
      <c r="A33" s="354"/>
      <c r="B33" s="178"/>
      <c r="C33" s="177"/>
      <c r="D33" s="348"/>
      <c r="E33" s="337"/>
      <c r="F33" s="336"/>
      <c r="G33" s="337"/>
      <c r="H33" s="336"/>
      <c r="I33" s="180"/>
      <c r="J33" s="346"/>
      <c r="K33" s="346"/>
      <c r="L33" s="347"/>
      <c r="M33" s="336"/>
      <c r="N33" s="336"/>
      <c r="O33" s="336"/>
      <c r="P33" s="336"/>
      <c r="Q33" s="336"/>
      <c r="R33" s="346"/>
      <c r="S33" s="336"/>
      <c r="T33" s="346"/>
      <c r="U33" s="336"/>
      <c r="V33" s="346"/>
      <c r="W33" s="336"/>
      <c r="X33" s="348"/>
      <c r="Y33" s="336"/>
      <c r="Z33" s="336"/>
      <c r="AA33" s="336"/>
      <c r="AB33" s="336"/>
      <c r="AC33" s="336"/>
      <c r="AD33" s="336"/>
      <c r="AE33" s="336"/>
      <c r="AF33" s="336"/>
      <c r="AG33" s="336"/>
      <c r="AH33" s="346"/>
      <c r="AI33" s="336"/>
      <c r="AJ33" s="346"/>
      <c r="AK33" s="336"/>
      <c r="AL33" s="346"/>
      <c r="AM33" s="170"/>
      <c r="AN33" s="174"/>
      <c r="AO33" s="336"/>
      <c r="AP33" s="358"/>
      <c r="AQ33" s="168"/>
      <c r="AR33" s="166"/>
      <c r="AS33" s="167"/>
      <c r="AT33" s="166"/>
      <c r="AU33" s="166"/>
      <c r="AV33" s="165"/>
      <c r="AW33" s="164"/>
      <c r="AX33" s="163"/>
      <c r="AY33" s="161"/>
      <c r="AZ33" s="161"/>
      <c r="BA33" s="162"/>
      <c r="BB33" s="161"/>
      <c r="BC33" s="161"/>
      <c r="BD33" s="160"/>
      <c r="BE33" s="158"/>
      <c r="BF33" s="158"/>
      <c r="BG33" s="159"/>
      <c r="BH33" s="158"/>
      <c r="BI33" s="158"/>
      <c r="BJ33" s="158"/>
      <c r="BK33" s="158"/>
      <c r="BL33" s="158"/>
      <c r="BM33" s="157"/>
      <c r="BN33" s="156"/>
      <c r="BO33" s="156"/>
      <c r="BP33" s="156"/>
      <c r="BQ33" s="156"/>
      <c r="BR33" s="155"/>
      <c r="BS33" s="154"/>
      <c r="BT33" s="154"/>
      <c r="BU33" s="153"/>
      <c r="BV33" s="153"/>
      <c r="BW33" s="152"/>
      <c r="BX33" s="151"/>
      <c r="BY33" s="151"/>
      <c r="BZ33" s="151"/>
      <c r="CA33" s="151"/>
      <c r="CB33" s="150"/>
      <c r="CC33" s="149"/>
      <c r="CD33" s="149"/>
      <c r="CE33" s="149"/>
      <c r="CF33" s="148"/>
    </row>
    <row r="34" spans="1:84" ht="15" customHeight="1" x14ac:dyDescent="0.25">
      <c r="A34" s="354"/>
      <c r="B34" s="178"/>
      <c r="C34" s="177"/>
      <c r="D34" s="348"/>
      <c r="E34" s="337"/>
      <c r="F34" s="336"/>
      <c r="G34" s="337"/>
      <c r="H34" s="336"/>
      <c r="I34" s="180"/>
      <c r="J34" s="346"/>
      <c r="K34" s="346"/>
      <c r="L34" s="347"/>
      <c r="M34" s="336"/>
      <c r="N34" s="336"/>
      <c r="O34" s="336"/>
      <c r="P34" s="336"/>
      <c r="Q34" s="336"/>
      <c r="R34" s="346"/>
      <c r="S34" s="336"/>
      <c r="T34" s="346"/>
      <c r="U34" s="336"/>
      <c r="V34" s="346"/>
      <c r="W34" s="336"/>
      <c r="X34" s="348"/>
      <c r="Y34" s="336"/>
      <c r="Z34" s="336"/>
      <c r="AA34" s="336"/>
      <c r="AB34" s="336"/>
      <c r="AC34" s="336"/>
      <c r="AD34" s="336"/>
      <c r="AE34" s="336"/>
      <c r="AF34" s="336"/>
      <c r="AG34" s="336"/>
      <c r="AH34" s="346"/>
      <c r="AI34" s="336"/>
      <c r="AJ34" s="346"/>
      <c r="AK34" s="336"/>
      <c r="AL34" s="346"/>
      <c r="AM34" s="170"/>
      <c r="AN34" s="174"/>
      <c r="AO34" s="336"/>
      <c r="AP34" s="358"/>
      <c r="AQ34" s="168"/>
      <c r="AR34" s="166"/>
      <c r="AS34" s="167"/>
      <c r="AT34" s="166"/>
      <c r="AU34" s="166"/>
      <c r="AV34" s="165"/>
      <c r="AW34" s="164"/>
      <c r="AX34" s="163"/>
      <c r="AY34" s="161"/>
      <c r="AZ34" s="161"/>
      <c r="BA34" s="162"/>
      <c r="BB34" s="161"/>
      <c r="BC34" s="161"/>
      <c r="BD34" s="160"/>
      <c r="BE34" s="158"/>
      <c r="BF34" s="158"/>
      <c r="BG34" s="159"/>
      <c r="BH34" s="158"/>
      <c r="BI34" s="158"/>
      <c r="BJ34" s="158"/>
      <c r="BK34" s="158"/>
      <c r="BL34" s="158"/>
      <c r="BM34" s="157"/>
      <c r="BN34" s="156"/>
      <c r="BO34" s="156"/>
      <c r="BP34" s="156"/>
      <c r="BQ34" s="156"/>
      <c r="BR34" s="155"/>
      <c r="BS34" s="154"/>
      <c r="BT34" s="154"/>
      <c r="BU34" s="153"/>
      <c r="BV34" s="153"/>
      <c r="BW34" s="152"/>
      <c r="BX34" s="151"/>
      <c r="BY34" s="151"/>
      <c r="BZ34" s="151"/>
      <c r="CA34" s="151"/>
      <c r="CB34" s="150"/>
      <c r="CC34" s="149"/>
      <c r="CD34" s="149"/>
      <c r="CE34" s="149"/>
      <c r="CF34" s="148"/>
    </row>
    <row r="35" spans="1:84" ht="15" customHeight="1" x14ac:dyDescent="0.25">
      <c r="A35" s="354"/>
      <c r="B35" s="178"/>
      <c r="C35" s="177"/>
      <c r="D35" s="348"/>
      <c r="E35" s="337"/>
      <c r="F35" s="336"/>
      <c r="G35" s="337"/>
      <c r="H35" s="336"/>
      <c r="I35" s="180"/>
      <c r="J35" s="346"/>
      <c r="K35" s="346"/>
      <c r="L35" s="347"/>
      <c r="M35" s="336"/>
      <c r="N35" s="336"/>
      <c r="O35" s="336"/>
      <c r="P35" s="336"/>
      <c r="Q35" s="336"/>
      <c r="R35" s="346"/>
      <c r="S35" s="336"/>
      <c r="T35" s="346"/>
      <c r="U35" s="336"/>
      <c r="V35" s="346"/>
      <c r="W35" s="336"/>
      <c r="X35" s="348"/>
      <c r="Y35" s="336"/>
      <c r="Z35" s="336"/>
      <c r="AA35" s="336"/>
      <c r="AB35" s="336"/>
      <c r="AC35" s="336"/>
      <c r="AD35" s="336"/>
      <c r="AE35" s="336"/>
      <c r="AF35" s="336"/>
      <c r="AG35" s="336"/>
      <c r="AH35" s="346"/>
      <c r="AI35" s="336"/>
      <c r="AJ35" s="346"/>
      <c r="AK35" s="336"/>
      <c r="AL35" s="346"/>
      <c r="AM35" s="170"/>
      <c r="AN35" s="174"/>
      <c r="AO35" s="336"/>
      <c r="AP35" s="358"/>
      <c r="AQ35" s="168"/>
      <c r="AR35" s="166"/>
      <c r="AS35" s="167"/>
      <c r="AT35" s="166"/>
      <c r="AU35" s="166"/>
      <c r="AV35" s="165"/>
      <c r="AW35" s="164"/>
      <c r="AX35" s="163"/>
      <c r="AY35" s="161"/>
      <c r="AZ35" s="161"/>
      <c r="BA35" s="162"/>
      <c r="BB35" s="161"/>
      <c r="BC35" s="161"/>
      <c r="BD35" s="160"/>
      <c r="BE35" s="158"/>
      <c r="BF35" s="158"/>
      <c r="BG35" s="159"/>
      <c r="BH35" s="158"/>
      <c r="BI35" s="158"/>
      <c r="BJ35" s="158"/>
      <c r="BK35" s="158"/>
      <c r="BL35" s="158"/>
      <c r="BM35" s="157"/>
      <c r="BN35" s="156"/>
      <c r="BO35" s="156"/>
      <c r="BP35" s="156"/>
      <c r="BQ35" s="156"/>
      <c r="BR35" s="155"/>
      <c r="BS35" s="154"/>
      <c r="BT35" s="154"/>
      <c r="BU35" s="153"/>
      <c r="BV35" s="153"/>
      <c r="BW35" s="152"/>
      <c r="BX35" s="151"/>
      <c r="BY35" s="151"/>
      <c r="BZ35" s="151"/>
      <c r="CA35" s="151"/>
      <c r="CB35" s="150"/>
      <c r="CC35" s="149"/>
      <c r="CD35" s="149"/>
      <c r="CE35" s="149"/>
      <c r="CF35" s="148"/>
    </row>
    <row r="36" spans="1:84" ht="15" customHeight="1" x14ac:dyDescent="0.25">
      <c r="A36" s="354"/>
      <c r="B36" s="178"/>
      <c r="C36" s="177"/>
      <c r="D36" s="348"/>
      <c r="E36" s="337"/>
      <c r="F36" s="336"/>
      <c r="G36" s="337"/>
      <c r="H36" s="336"/>
      <c r="I36" s="180"/>
      <c r="J36" s="346"/>
      <c r="K36" s="346"/>
      <c r="L36" s="347"/>
      <c r="M36" s="336"/>
      <c r="N36" s="336"/>
      <c r="O36" s="336"/>
      <c r="P36" s="336"/>
      <c r="Q36" s="336"/>
      <c r="R36" s="346"/>
      <c r="S36" s="336"/>
      <c r="T36" s="346"/>
      <c r="U36" s="336"/>
      <c r="V36" s="346"/>
      <c r="W36" s="336"/>
      <c r="X36" s="348"/>
      <c r="Y36" s="336"/>
      <c r="Z36" s="336"/>
      <c r="AA36" s="336"/>
      <c r="AB36" s="336"/>
      <c r="AC36" s="336"/>
      <c r="AD36" s="336"/>
      <c r="AE36" s="336"/>
      <c r="AF36" s="336"/>
      <c r="AG36" s="336"/>
      <c r="AH36" s="346"/>
      <c r="AI36" s="336"/>
      <c r="AJ36" s="346"/>
      <c r="AK36" s="336"/>
      <c r="AL36" s="346"/>
      <c r="AM36" s="170"/>
      <c r="AN36" s="174"/>
      <c r="AO36" s="336"/>
      <c r="AP36" s="358"/>
      <c r="AQ36" s="168"/>
      <c r="AR36" s="166"/>
      <c r="AS36" s="167"/>
      <c r="AT36" s="166"/>
      <c r="AU36" s="166"/>
      <c r="AV36" s="165"/>
      <c r="AW36" s="164"/>
      <c r="AX36" s="163"/>
      <c r="AY36" s="161"/>
      <c r="AZ36" s="161"/>
      <c r="BA36" s="162"/>
      <c r="BB36" s="161"/>
      <c r="BC36" s="161"/>
      <c r="BD36" s="160"/>
      <c r="BE36" s="158"/>
      <c r="BF36" s="158"/>
      <c r="BG36" s="159"/>
      <c r="BH36" s="158"/>
      <c r="BI36" s="158"/>
      <c r="BJ36" s="158"/>
      <c r="BK36" s="158"/>
      <c r="BL36" s="158"/>
      <c r="BM36" s="157"/>
      <c r="BN36" s="156"/>
      <c r="BO36" s="156"/>
      <c r="BP36" s="156"/>
      <c r="BQ36" s="156"/>
      <c r="BR36" s="155"/>
      <c r="BS36" s="154"/>
      <c r="BT36" s="154"/>
      <c r="BU36" s="153"/>
      <c r="BV36" s="153"/>
      <c r="BW36" s="152"/>
      <c r="BX36" s="151"/>
      <c r="BY36" s="151"/>
      <c r="BZ36" s="151"/>
      <c r="CA36" s="151"/>
      <c r="CB36" s="150"/>
      <c r="CC36" s="149"/>
      <c r="CD36" s="149"/>
      <c r="CE36" s="149"/>
      <c r="CF36" s="148"/>
    </row>
    <row r="37" spans="1:84" ht="15" customHeight="1" x14ac:dyDescent="0.25">
      <c r="A37" s="354"/>
      <c r="B37" s="178"/>
      <c r="C37" s="177"/>
      <c r="D37" s="348"/>
      <c r="E37" s="337"/>
      <c r="F37" s="336"/>
      <c r="G37" s="337"/>
      <c r="H37" s="336"/>
      <c r="I37" s="180"/>
      <c r="J37" s="346"/>
      <c r="K37" s="346"/>
      <c r="L37" s="347"/>
      <c r="M37" s="336"/>
      <c r="N37" s="336"/>
      <c r="O37" s="336"/>
      <c r="P37" s="336"/>
      <c r="Q37" s="336"/>
      <c r="R37" s="346"/>
      <c r="S37" s="336"/>
      <c r="T37" s="346"/>
      <c r="U37" s="336"/>
      <c r="V37" s="346"/>
      <c r="W37" s="336"/>
      <c r="X37" s="348"/>
      <c r="Y37" s="336"/>
      <c r="Z37" s="336"/>
      <c r="AA37" s="336"/>
      <c r="AB37" s="336"/>
      <c r="AC37" s="336"/>
      <c r="AD37" s="336"/>
      <c r="AE37" s="336"/>
      <c r="AF37" s="336"/>
      <c r="AG37" s="336"/>
      <c r="AH37" s="346"/>
      <c r="AI37" s="336"/>
      <c r="AJ37" s="346"/>
      <c r="AK37" s="336"/>
      <c r="AL37" s="346"/>
      <c r="AM37" s="170"/>
      <c r="AN37" s="174"/>
      <c r="AO37" s="336"/>
      <c r="AP37" s="358"/>
      <c r="AQ37" s="168"/>
      <c r="AR37" s="166"/>
      <c r="AS37" s="167"/>
      <c r="AT37" s="166"/>
      <c r="AU37" s="166"/>
      <c r="AV37" s="165"/>
      <c r="AW37" s="164"/>
      <c r="AX37" s="163"/>
      <c r="AY37" s="161"/>
      <c r="AZ37" s="161"/>
      <c r="BA37" s="162"/>
      <c r="BB37" s="161"/>
      <c r="BC37" s="161"/>
      <c r="BD37" s="160"/>
      <c r="BE37" s="158"/>
      <c r="BF37" s="158"/>
      <c r="BG37" s="159"/>
      <c r="BH37" s="158"/>
      <c r="BI37" s="158"/>
      <c r="BJ37" s="158"/>
      <c r="BK37" s="158"/>
      <c r="BL37" s="158"/>
      <c r="BM37" s="157"/>
      <c r="BN37" s="156"/>
      <c r="BO37" s="156"/>
      <c r="BP37" s="156"/>
      <c r="BQ37" s="156"/>
      <c r="BR37" s="155"/>
      <c r="BS37" s="154"/>
      <c r="BT37" s="154"/>
      <c r="BU37" s="153"/>
      <c r="BV37" s="153"/>
      <c r="BW37" s="152"/>
      <c r="BX37" s="151"/>
      <c r="BY37" s="151"/>
      <c r="BZ37" s="151"/>
      <c r="CA37" s="151"/>
      <c r="CB37" s="150"/>
      <c r="CC37" s="149"/>
      <c r="CD37" s="149"/>
      <c r="CE37" s="149"/>
      <c r="CF37" s="148"/>
    </row>
    <row r="38" spans="1:84" ht="15" customHeight="1" x14ac:dyDescent="0.25">
      <c r="A38" s="354"/>
      <c r="B38" s="178"/>
      <c r="C38" s="177"/>
      <c r="D38" s="348"/>
      <c r="E38" s="337"/>
      <c r="F38" s="336"/>
      <c r="G38" s="337"/>
      <c r="H38" s="336"/>
      <c r="I38" s="180"/>
      <c r="J38" s="346"/>
      <c r="K38" s="346"/>
      <c r="L38" s="347"/>
      <c r="M38" s="336"/>
      <c r="N38" s="336"/>
      <c r="O38" s="336"/>
      <c r="P38" s="336"/>
      <c r="Q38" s="336"/>
      <c r="R38" s="346"/>
      <c r="S38" s="336"/>
      <c r="T38" s="346"/>
      <c r="U38" s="336"/>
      <c r="V38" s="346"/>
      <c r="W38" s="336"/>
      <c r="X38" s="348"/>
      <c r="Y38" s="336"/>
      <c r="Z38" s="336"/>
      <c r="AA38" s="336"/>
      <c r="AB38" s="336"/>
      <c r="AC38" s="336"/>
      <c r="AD38" s="336"/>
      <c r="AE38" s="336"/>
      <c r="AF38" s="336"/>
      <c r="AG38" s="336"/>
      <c r="AH38" s="346"/>
      <c r="AI38" s="336"/>
      <c r="AJ38" s="346"/>
      <c r="AK38" s="336"/>
      <c r="AL38" s="346"/>
      <c r="AM38" s="170"/>
      <c r="AN38" s="174"/>
      <c r="AO38" s="336"/>
      <c r="AP38" s="358"/>
      <c r="AQ38" s="168"/>
      <c r="AR38" s="166"/>
      <c r="AS38" s="167"/>
      <c r="AT38" s="166"/>
      <c r="AU38" s="166"/>
      <c r="AV38" s="165"/>
      <c r="AW38" s="164"/>
      <c r="AX38" s="163"/>
      <c r="AY38" s="161"/>
      <c r="AZ38" s="161"/>
      <c r="BA38" s="162"/>
      <c r="BB38" s="161"/>
      <c r="BC38" s="161"/>
      <c r="BD38" s="160"/>
      <c r="BE38" s="158"/>
      <c r="BF38" s="158"/>
      <c r="BG38" s="159"/>
      <c r="BH38" s="158"/>
      <c r="BI38" s="158"/>
      <c r="BJ38" s="158"/>
      <c r="BK38" s="158"/>
      <c r="BL38" s="158"/>
      <c r="BM38" s="157"/>
      <c r="BN38" s="156"/>
      <c r="BO38" s="156"/>
      <c r="BP38" s="156"/>
      <c r="BQ38" s="156"/>
      <c r="BR38" s="155"/>
      <c r="BS38" s="154"/>
      <c r="BT38" s="154"/>
      <c r="BU38" s="153"/>
      <c r="BV38" s="153"/>
      <c r="BW38" s="152"/>
      <c r="BX38" s="151"/>
      <c r="BY38" s="151"/>
      <c r="BZ38" s="151"/>
      <c r="CA38" s="151"/>
      <c r="CB38" s="150"/>
      <c r="CC38" s="149"/>
      <c r="CD38" s="149"/>
      <c r="CE38" s="149"/>
      <c r="CF38" s="148"/>
    </row>
    <row r="39" spans="1:84" ht="15" customHeight="1" x14ac:dyDescent="0.25">
      <c r="A39" s="354"/>
      <c r="B39" s="178"/>
      <c r="C39" s="177"/>
      <c r="D39" s="348"/>
      <c r="E39" s="337"/>
      <c r="F39" s="336"/>
      <c r="G39" s="337"/>
      <c r="H39" s="336"/>
      <c r="I39" s="180"/>
      <c r="J39" s="346"/>
      <c r="K39" s="346"/>
      <c r="L39" s="347"/>
      <c r="M39" s="336"/>
      <c r="N39" s="336"/>
      <c r="O39" s="336"/>
      <c r="P39" s="336"/>
      <c r="Q39" s="336"/>
      <c r="R39" s="346"/>
      <c r="S39" s="336"/>
      <c r="T39" s="346"/>
      <c r="U39" s="336"/>
      <c r="V39" s="346"/>
      <c r="W39" s="336"/>
      <c r="X39" s="348"/>
      <c r="Y39" s="336"/>
      <c r="Z39" s="336"/>
      <c r="AA39" s="336"/>
      <c r="AB39" s="336"/>
      <c r="AC39" s="336"/>
      <c r="AD39" s="336"/>
      <c r="AE39" s="336"/>
      <c r="AF39" s="336"/>
      <c r="AG39" s="336"/>
      <c r="AH39" s="346"/>
      <c r="AI39" s="336"/>
      <c r="AJ39" s="346"/>
      <c r="AK39" s="336"/>
      <c r="AL39" s="346"/>
      <c r="AM39" s="170"/>
      <c r="AN39" s="174"/>
      <c r="AO39" s="336"/>
      <c r="AP39" s="358"/>
      <c r="AQ39" s="168"/>
      <c r="AR39" s="166"/>
      <c r="AS39" s="167"/>
      <c r="AT39" s="166"/>
      <c r="AU39" s="166"/>
      <c r="AV39" s="165"/>
      <c r="AW39" s="164"/>
      <c r="AX39" s="163"/>
      <c r="AY39" s="161"/>
      <c r="AZ39" s="161"/>
      <c r="BA39" s="162"/>
      <c r="BB39" s="161"/>
      <c r="BC39" s="161"/>
      <c r="BD39" s="160"/>
      <c r="BE39" s="158"/>
      <c r="BF39" s="158"/>
      <c r="BG39" s="159"/>
      <c r="BH39" s="158"/>
      <c r="BI39" s="158"/>
      <c r="BJ39" s="158"/>
      <c r="BK39" s="158"/>
      <c r="BL39" s="158"/>
      <c r="BM39" s="157"/>
      <c r="BN39" s="156"/>
      <c r="BO39" s="156"/>
      <c r="BP39" s="156"/>
      <c r="BQ39" s="156"/>
      <c r="BR39" s="155"/>
      <c r="BS39" s="154"/>
      <c r="BT39" s="154"/>
      <c r="BU39" s="153"/>
      <c r="BV39" s="153"/>
      <c r="BW39" s="152"/>
      <c r="BX39" s="151"/>
      <c r="BY39" s="151"/>
      <c r="BZ39" s="151"/>
      <c r="CA39" s="151"/>
      <c r="CB39" s="150"/>
      <c r="CC39" s="149"/>
      <c r="CD39" s="149"/>
      <c r="CE39" s="149"/>
      <c r="CF39" s="148"/>
    </row>
    <row r="40" spans="1:84" ht="15" customHeight="1" x14ac:dyDescent="0.25">
      <c r="A40" s="354"/>
      <c r="B40" s="178"/>
      <c r="C40" s="177"/>
      <c r="D40" s="348"/>
      <c r="E40" s="337"/>
      <c r="F40" s="336"/>
      <c r="G40" s="337"/>
      <c r="H40" s="336"/>
      <c r="I40" s="180"/>
      <c r="J40" s="346"/>
      <c r="K40" s="346"/>
      <c r="L40" s="347"/>
      <c r="M40" s="336"/>
      <c r="N40" s="336"/>
      <c r="O40" s="336"/>
      <c r="P40" s="336"/>
      <c r="Q40" s="336"/>
      <c r="R40" s="346"/>
      <c r="S40" s="336"/>
      <c r="T40" s="346"/>
      <c r="U40" s="336"/>
      <c r="V40" s="346"/>
      <c r="W40" s="336"/>
      <c r="X40" s="348"/>
      <c r="Y40" s="336"/>
      <c r="Z40" s="336"/>
      <c r="AA40" s="336"/>
      <c r="AB40" s="336"/>
      <c r="AC40" s="336"/>
      <c r="AD40" s="336"/>
      <c r="AE40" s="336"/>
      <c r="AF40" s="336"/>
      <c r="AG40" s="336"/>
      <c r="AH40" s="346"/>
      <c r="AI40" s="336"/>
      <c r="AJ40" s="346"/>
      <c r="AK40" s="336"/>
      <c r="AL40" s="346"/>
      <c r="AM40" s="170"/>
      <c r="AN40" s="174"/>
      <c r="AO40" s="336"/>
      <c r="AP40" s="358"/>
      <c r="AQ40" s="168"/>
      <c r="AR40" s="166"/>
      <c r="AS40" s="167"/>
      <c r="AT40" s="166"/>
      <c r="AU40" s="166"/>
      <c r="AV40" s="165"/>
      <c r="AW40" s="164"/>
      <c r="AX40" s="163"/>
      <c r="AY40" s="161"/>
      <c r="AZ40" s="161"/>
      <c r="BA40" s="162"/>
      <c r="BB40" s="161"/>
      <c r="BC40" s="161"/>
      <c r="BD40" s="160"/>
      <c r="BE40" s="158"/>
      <c r="BF40" s="158"/>
      <c r="BG40" s="159"/>
      <c r="BH40" s="158"/>
      <c r="BI40" s="158"/>
      <c r="BJ40" s="158"/>
      <c r="BK40" s="158"/>
      <c r="BL40" s="158"/>
      <c r="BM40" s="157"/>
      <c r="BN40" s="156"/>
      <c r="BO40" s="156"/>
      <c r="BP40" s="156"/>
      <c r="BQ40" s="156"/>
      <c r="BR40" s="155"/>
      <c r="BS40" s="154"/>
      <c r="BT40" s="154"/>
      <c r="BU40" s="153"/>
      <c r="BV40" s="153"/>
      <c r="BW40" s="152"/>
      <c r="BX40" s="151"/>
      <c r="BY40" s="151"/>
      <c r="BZ40" s="151"/>
      <c r="CA40" s="151"/>
      <c r="CB40" s="150"/>
      <c r="CC40" s="149"/>
      <c r="CD40" s="149"/>
      <c r="CE40" s="149"/>
      <c r="CF40" s="148"/>
    </row>
    <row r="41" spans="1:84" ht="15" customHeight="1" x14ac:dyDescent="0.25">
      <c r="A41" s="354"/>
      <c r="B41" s="178"/>
      <c r="C41" s="177"/>
      <c r="D41" s="348"/>
      <c r="E41" s="337"/>
      <c r="F41" s="336"/>
      <c r="G41" s="337"/>
      <c r="H41" s="336"/>
      <c r="I41" s="180"/>
      <c r="J41" s="346"/>
      <c r="K41" s="346"/>
      <c r="L41" s="347"/>
      <c r="M41" s="336"/>
      <c r="N41" s="336"/>
      <c r="O41" s="336"/>
      <c r="P41" s="336"/>
      <c r="Q41" s="336"/>
      <c r="R41" s="346"/>
      <c r="S41" s="336"/>
      <c r="T41" s="346"/>
      <c r="U41" s="336"/>
      <c r="V41" s="346"/>
      <c r="W41" s="336"/>
      <c r="X41" s="348"/>
      <c r="Y41" s="336"/>
      <c r="Z41" s="336"/>
      <c r="AA41" s="336"/>
      <c r="AB41" s="336"/>
      <c r="AC41" s="336"/>
      <c r="AD41" s="336"/>
      <c r="AE41" s="336"/>
      <c r="AF41" s="336"/>
      <c r="AG41" s="336"/>
      <c r="AH41" s="346"/>
      <c r="AI41" s="336"/>
      <c r="AJ41" s="346"/>
      <c r="AK41" s="336"/>
      <c r="AL41" s="346"/>
      <c r="AM41" s="170"/>
      <c r="AN41" s="174"/>
      <c r="AO41" s="336"/>
      <c r="AP41" s="358"/>
      <c r="AQ41" s="168"/>
      <c r="AR41" s="166"/>
      <c r="AS41" s="167"/>
      <c r="AT41" s="166"/>
      <c r="AU41" s="166"/>
      <c r="AV41" s="165"/>
      <c r="AW41" s="164"/>
      <c r="AX41" s="163"/>
      <c r="AY41" s="161"/>
      <c r="AZ41" s="161"/>
      <c r="BA41" s="162"/>
      <c r="BB41" s="161"/>
      <c r="BC41" s="161"/>
      <c r="BD41" s="160"/>
      <c r="BE41" s="158"/>
      <c r="BF41" s="158"/>
      <c r="BG41" s="159"/>
      <c r="BH41" s="158"/>
      <c r="BI41" s="158"/>
      <c r="BJ41" s="158"/>
      <c r="BK41" s="158"/>
      <c r="BL41" s="158"/>
      <c r="BM41" s="157"/>
      <c r="BN41" s="156"/>
      <c r="BO41" s="156"/>
      <c r="BP41" s="156"/>
      <c r="BQ41" s="156"/>
      <c r="BR41" s="155"/>
      <c r="BS41" s="154"/>
      <c r="BT41" s="154"/>
      <c r="BU41" s="153"/>
      <c r="BV41" s="153"/>
      <c r="BW41" s="152"/>
      <c r="BX41" s="151"/>
      <c r="BY41" s="151"/>
      <c r="BZ41" s="151"/>
      <c r="CA41" s="151"/>
      <c r="CB41" s="150"/>
      <c r="CC41" s="149"/>
      <c r="CD41" s="149"/>
      <c r="CE41" s="149"/>
      <c r="CF41" s="148"/>
    </row>
    <row r="42" spans="1:84" ht="15" customHeight="1" x14ac:dyDescent="0.25">
      <c r="A42" s="354"/>
      <c r="B42" s="178"/>
      <c r="C42" s="177"/>
      <c r="D42" s="348"/>
      <c r="E42" s="337"/>
      <c r="F42" s="336"/>
      <c r="G42" s="337"/>
      <c r="H42" s="336"/>
      <c r="I42" s="180"/>
      <c r="J42" s="346"/>
      <c r="K42" s="346"/>
      <c r="L42" s="347"/>
      <c r="M42" s="336"/>
      <c r="N42" s="336"/>
      <c r="O42" s="336"/>
      <c r="P42" s="336"/>
      <c r="Q42" s="336"/>
      <c r="R42" s="346"/>
      <c r="S42" s="336"/>
      <c r="T42" s="346"/>
      <c r="U42" s="336"/>
      <c r="V42" s="346"/>
      <c r="W42" s="336"/>
      <c r="X42" s="348"/>
      <c r="Y42" s="336"/>
      <c r="Z42" s="336"/>
      <c r="AA42" s="336"/>
      <c r="AB42" s="336"/>
      <c r="AC42" s="336"/>
      <c r="AD42" s="336"/>
      <c r="AE42" s="336"/>
      <c r="AF42" s="336"/>
      <c r="AG42" s="336"/>
      <c r="AH42" s="346"/>
      <c r="AI42" s="336"/>
      <c r="AJ42" s="346"/>
      <c r="AK42" s="336"/>
      <c r="AL42" s="346"/>
      <c r="AM42" s="170"/>
      <c r="AN42" s="174"/>
      <c r="AO42" s="336"/>
      <c r="AP42" s="358"/>
      <c r="AQ42" s="168"/>
      <c r="AR42" s="166"/>
      <c r="AS42" s="167"/>
      <c r="AT42" s="166"/>
      <c r="AU42" s="166"/>
      <c r="AV42" s="165"/>
      <c r="AW42" s="164"/>
      <c r="AX42" s="163"/>
      <c r="AY42" s="161"/>
      <c r="AZ42" s="161"/>
      <c r="BA42" s="162"/>
      <c r="BB42" s="161"/>
      <c r="BC42" s="161"/>
      <c r="BD42" s="160"/>
      <c r="BE42" s="158"/>
      <c r="BF42" s="158"/>
      <c r="BG42" s="159"/>
      <c r="BH42" s="158"/>
      <c r="BI42" s="158"/>
      <c r="BJ42" s="158"/>
      <c r="BK42" s="158"/>
      <c r="BL42" s="158"/>
      <c r="BM42" s="157"/>
      <c r="BN42" s="156"/>
      <c r="BO42" s="156"/>
      <c r="BP42" s="156"/>
      <c r="BQ42" s="156"/>
      <c r="BR42" s="155"/>
      <c r="BS42" s="154"/>
      <c r="BT42" s="154"/>
      <c r="BU42" s="153"/>
      <c r="BV42" s="153"/>
      <c r="BW42" s="152"/>
      <c r="BX42" s="151"/>
      <c r="BY42" s="151"/>
      <c r="BZ42" s="151"/>
      <c r="CA42" s="151"/>
      <c r="CB42" s="150"/>
      <c r="CC42" s="149"/>
      <c r="CD42" s="149"/>
      <c r="CE42" s="149"/>
      <c r="CF42" s="148"/>
    </row>
    <row r="43" spans="1:84" ht="15" customHeight="1" x14ac:dyDescent="0.25">
      <c r="A43" s="354"/>
      <c r="B43" s="178"/>
      <c r="C43" s="177"/>
      <c r="D43" s="348"/>
      <c r="E43" s="337"/>
      <c r="F43" s="336"/>
      <c r="G43" s="337"/>
      <c r="H43" s="336"/>
      <c r="I43" s="180"/>
      <c r="J43" s="346"/>
      <c r="K43" s="346"/>
      <c r="L43" s="347"/>
      <c r="M43" s="336"/>
      <c r="N43" s="336"/>
      <c r="O43" s="336"/>
      <c r="P43" s="336"/>
      <c r="Q43" s="336"/>
      <c r="R43" s="346"/>
      <c r="S43" s="336"/>
      <c r="T43" s="346"/>
      <c r="U43" s="336"/>
      <c r="V43" s="346"/>
      <c r="W43" s="336"/>
      <c r="X43" s="348"/>
      <c r="Y43" s="336"/>
      <c r="Z43" s="336"/>
      <c r="AA43" s="336"/>
      <c r="AB43" s="336"/>
      <c r="AC43" s="336"/>
      <c r="AD43" s="336"/>
      <c r="AE43" s="336"/>
      <c r="AF43" s="336"/>
      <c r="AG43" s="336"/>
      <c r="AH43" s="346"/>
      <c r="AI43" s="336"/>
      <c r="AJ43" s="346"/>
      <c r="AK43" s="336"/>
      <c r="AL43" s="346"/>
      <c r="AM43" s="170"/>
      <c r="AN43" s="174"/>
      <c r="AO43" s="336"/>
      <c r="AP43" s="358"/>
      <c r="AQ43" s="168"/>
      <c r="AR43" s="166"/>
      <c r="AS43" s="167"/>
      <c r="AT43" s="166"/>
      <c r="AU43" s="166"/>
      <c r="AV43" s="165"/>
      <c r="AW43" s="164"/>
      <c r="AX43" s="163"/>
      <c r="AY43" s="161"/>
      <c r="AZ43" s="161"/>
      <c r="BA43" s="162"/>
      <c r="BB43" s="161"/>
      <c r="BC43" s="161"/>
      <c r="BD43" s="160"/>
      <c r="BE43" s="158"/>
      <c r="BF43" s="158"/>
      <c r="BG43" s="159"/>
      <c r="BH43" s="158"/>
      <c r="BI43" s="158"/>
      <c r="BJ43" s="158"/>
      <c r="BK43" s="158"/>
      <c r="BL43" s="158"/>
      <c r="BM43" s="157"/>
      <c r="BN43" s="156"/>
      <c r="BO43" s="156"/>
      <c r="BP43" s="156"/>
      <c r="BQ43" s="156"/>
      <c r="BR43" s="155"/>
      <c r="BS43" s="154"/>
      <c r="BT43" s="154"/>
      <c r="BU43" s="153"/>
      <c r="BV43" s="153"/>
      <c r="BW43" s="152"/>
      <c r="BX43" s="151"/>
      <c r="BY43" s="151"/>
      <c r="BZ43" s="151"/>
      <c r="CA43" s="151"/>
      <c r="CB43" s="150"/>
      <c r="CC43" s="149"/>
      <c r="CD43" s="149"/>
      <c r="CE43" s="149"/>
      <c r="CF43" s="148"/>
    </row>
    <row r="44" spans="1:84" ht="15" customHeight="1" x14ac:dyDescent="0.25">
      <c r="A44" s="354"/>
      <c r="B44" s="178"/>
      <c r="C44" s="177"/>
      <c r="D44" s="348"/>
      <c r="E44" s="337"/>
      <c r="F44" s="336"/>
      <c r="G44" s="337"/>
      <c r="H44" s="336"/>
      <c r="I44" s="180"/>
      <c r="J44" s="346"/>
      <c r="K44" s="346"/>
      <c r="L44" s="347"/>
      <c r="M44" s="336"/>
      <c r="N44" s="336"/>
      <c r="O44" s="336"/>
      <c r="P44" s="336"/>
      <c r="Q44" s="336"/>
      <c r="R44" s="346"/>
      <c r="S44" s="336"/>
      <c r="T44" s="346"/>
      <c r="U44" s="336"/>
      <c r="V44" s="346"/>
      <c r="W44" s="336"/>
      <c r="X44" s="348"/>
      <c r="Y44" s="336"/>
      <c r="Z44" s="336"/>
      <c r="AA44" s="336"/>
      <c r="AB44" s="336"/>
      <c r="AC44" s="336"/>
      <c r="AD44" s="336"/>
      <c r="AE44" s="336"/>
      <c r="AF44" s="336"/>
      <c r="AG44" s="336"/>
      <c r="AH44" s="346"/>
      <c r="AI44" s="336"/>
      <c r="AJ44" s="346"/>
      <c r="AK44" s="336"/>
      <c r="AL44" s="346"/>
      <c r="AM44" s="170"/>
      <c r="AN44" s="174"/>
      <c r="AO44" s="336"/>
      <c r="AP44" s="358"/>
      <c r="AQ44" s="168"/>
      <c r="AR44" s="166"/>
      <c r="AS44" s="167"/>
      <c r="AT44" s="166"/>
      <c r="AU44" s="166"/>
      <c r="AV44" s="165"/>
      <c r="AW44" s="164"/>
      <c r="AX44" s="163"/>
      <c r="AY44" s="161"/>
      <c r="AZ44" s="161"/>
      <c r="BA44" s="162"/>
      <c r="BB44" s="161"/>
      <c r="BC44" s="161"/>
      <c r="BD44" s="160"/>
      <c r="BE44" s="158"/>
      <c r="BF44" s="158"/>
      <c r="BG44" s="159"/>
      <c r="BH44" s="158"/>
      <c r="BI44" s="158"/>
      <c r="BJ44" s="158"/>
      <c r="BK44" s="158"/>
      <c r="BL44" s="158"/>
      <c r="BM44" s="157"/>
      <c r="BN44" s="156"/>
      <c r="BO44" s="156"/>
      <c r="BP44" s="156"/>
      <c r="BQ44" s="156"/>
      <c r="BR44" s="155"/>
      <c r="BS44" s="154"/>
      <c r="BT44" s="154"/>
      <c r="BU44" s="153"/>
      <c r="BV44" s="153"/>
      <c r="BW44" s="152"/>
      <c r="BX44" s="151"/>
      <c r="BY44" s="151"/>
      <c r="BZ44" s="151"/>
      <c r="CA44" s="151"/>
      <c r="CB44" s="150"/>
      <c r="CC44" s="149"/>
      <c r="CD44" s="149"/>
      <c r="CE44" s="149"/>
      <c r="CF44" s="148"/>
    </row>
    <row r="45" spans="1:84" ht="15" customHeight="1" x14ac:dyDescent="0.25">
      <c r="A45" s="354"/>
      <c r="B45" s="178"/>
      <c r="C45" s="177"/>
      <c r="D45" s="348"/>
      <c r="E45" s="337"/>
      <c r="F45" s="336"/>
      <c r="G45" s="337"/>
      <c r="H45" s="336"/>
      <c r="I45" s="180"/>
      <c r="J45" s="346"/>
      <c r="K45" s="346"/>
      <c r="L45" s="347"/>
      <c r="M45" s="336"/>
      <c r="N45" s="336"/>
      <c r="O45" s="336"/>
      <c r="P45" s="336"/>
      <c r="Q45" s="336"/>
      <c r="R45" s="346"/>
      <c r="S45" s="336"/>
      <c r="T45" s="346"/>
      <c r="U45" s="336"/>
      <c r="V45" s="346"/>
      <c r="W45" s="336"/>
      <c r="X45" s="348"/>
      <c r="Y45" s="336"/>
      <c r="Z45" s="336"/>
      <c r="AA45" s="336"/>
      <c r="AB45" s="336"/>
      <c r="AC45" s="336"/>
      <c r="AD45" s="336"/>
      <c r="AE45" s="336"/>
      <c r="AF45" s="336"/>
      <c r="AG45" s="336"/>
      <c r="AH45" s="346"/>
      <c r="AI45" s="336"/>
      <c r="AJ45" s="346"/>
      <c r="AK45" s="336"/>
      <c r="AL45" s="346"/>
      <c r="AM45" s="170"/>
      <c r="AN45" s="174"/>
      <c r="AO45" s="336"/>
      <c r="AP45" s="358"/>
      <c r="AQ45" s="168"/>
      <c r="AR45" s="166"/>
      <c r="AS45" s="167"/>
      <c r="AT45" s="166"/>
      <c r="AU45" s="166"/>
      <c r="AV45" s="165"/>
      <c r="AW45" s="164"/>
      <c r="AX45" s="163"/>
      <c r="AY45" s="161"/>
      <c r="AZ45" s="161"/>
      <c r="BA45" s="162"/>
      <c r="BB45" s="161"/>
      <c r="BC45" s="161"/>
      <c r="BD45" s="160"/>
      <c r="BE45" s="158"/>
      <c r="BF45" s="158"/>
      <c r="BG45" s="159"/>
      <c r="BH45" s="158"/>
      <c r="BI45" s="158"/>
      <c r="BJ45" s="158"/>
      <c r="BK45" s="158"/>
      <c r="BL45" s="158"/>
      <c r="BM45" s="157"/>
      <c r="BN45" s="156"/>
      <c r="BO45" s="156"/>
      <c r="BP45" s="156"/>
      <c r="BQ45" s="156"/>
      <c r="BR45" s="155"/>
      <c r="BS45" s="154"/>
      <c r="BT45" s="154"/>
      <c r="BU45" s="153"/>
      <c r="BV45" s="153"/>
      <c r="BW45" s="152"/>
      <c r="BX45" s="151"/>
      <c r="BY45" s="151"/>
      <c r="BZ45" s="151"/>
      <c r="CA45" s="151"/>
      <c r="CB45" s="150"/>
      <c r="CC45" s="149"/>
      <c r="CD45" s="149"/>
      <c r="CE45" s="149"/>
      <c r="CF45" s="148"/>
    </row>
    <row r="46" spans="1:84" ht="15" customHeight="1" x14ac:dyDescent="0.25">
      <c r="A46" s="354"/>
      <c r="B46" s="178"/>
      <c r="C46" s="177"/>
      <c r="D46" s="348"/>
      <c r="E46" s="337"/>
      <c r="F46" s="336"/>
      <c r="G46" s="337"/>
      <c r="H46" s="336"/>
      <c r="I46" s="180"/>
      <c r="J46" s="346"/>
      <c r="K46" s="346"/>
      <c r="L46" s="347"/>
      <c r="M46" s="336"/>
      <c r="N46" s="336"/>
      <c r="O46" s="336"/>
      <c r="P46" s="336"/>
      <c r="Q46" s="336"/>
      <c r="R46" s="346"/>
      <c r="S46" s="336"/>
      <c r="T46" s="346"/>
      <c r="U46" s="336"/>
      <c r="V46" s="346"/>
      <c r="W46" s="336"/>
      <c r="X46" s="348"/>
      <c r="Y46" s="336"/>
      <c r="Z46" s="336"/>
      <c r="AA46" s="336"/>
      <c r="AB46" s="336"/>
      <c r="AC46" s="336"/>
      <c r="AD46" s="336"/>
      <c r="AE46" s="336"/>
      <c r="AF46" s="336"/>
      <c r="AG46" s="336"/>
      <c r="AH46" s="346"/>
      <c r="AI46" s="336"/>
      <c r="AJ46" s="346"/>
      <c r="AK46" s="336"/>
      <c r="AL46" s="346"/>
      <c r="AM46" s="170"/>
      <c r="AN46" s="174"/>
      <c r="AO46" s="336"/>
      <c r="AP46" s="358"/>
      <c r="AQ46" s="168"/>
      <c r="AR46" s="166"/>
      <c r="AS46" s="167"/>
      <c r="AT46" s="166"/>
      <c r="AU46" s="166"/>
      <c r="AV46" s="165"/>
      <c r="AW46" s="164"/>
      <c r="AX46" s="163"/>
      <c r="AY46" s="161"/>
      <c r="AZ46" s="161"/>
      <c r="BA46" s="162"/>
      <c r="BB46" s="161"/>
      <c r="BC46" s="161"/>
      <c r="BD46" s="160"/>
      <c r="BE46" s="158"/>
      <c r="BF46" s="158"/>
      <c r="BG46" s="159"/>
      <c r="BH46" s="158"/>
      <c r="BI46" s="158"/>
      <c r="BJ46" s="158"/>
      <c r="BK46" s="158"/>
      <c r="BL46" s="158"/>
      <c r="BM46" s="157"/>
      <c r="BN46" s="156"/>
      <c r="BO46" s="156"/>
      <c r="BP46" s="156"/>
      <c r="BQ46" s="156"/>
      <c r="BR46" s="155"/>
      <c r="BS46" s="154"/>
      <c r="BT46" s="154"/>
      <c r="BU46" s="153"/>
      <c r="BV46" s="153"/>
      <c r="BW46" s="152"/>
      <c r="BX46" s="151"/>
      <c r="BY46" s="151"/>
      <c r="BZ46" s="151"/>
      <c r="CA46" s="151"/>
      <c r="CB46" s="150"/>
      <c r="CC46" s="149"/>
      <c r="CD46" s="149"/>
      <c r="CE46" s="149"/>
      <c r="CF46" s="148"/>
    </row>
    <row r="47" spans="1:84" ht="15" customHeight="1" x14ac:dyDescent="0.25">
      <c r="A47" s="354"/>
      <c r="B47" s="178"/>
      <c r="C47" s="177"/>
      <c r="D47" s="348"/>
      <c r="E47" s="337"/>
      <c r="F47" s="336"/>
      <c r="G47" s="337"/>
      <c r="H47" s="336"/>
      <c r="I47" s="180"/>
      <c r="J47" s="346"/>
      <c r="K47" s="346"/>
      <c r="L47" s="347"/>
      <c r="M47" s="336"/>
      <c r="N47" s="336"/>
      <c r="O47" s="336"/>
      <c r="P47" s="336"/>
      <c r="Q47" s="336"/>
      <c r="R47" s="346"/>
      <c r="S47" s="336"/>
      <c r="T47" s="346"/>
      <c r="U47" s="336"/>
      <c r="V47" s="346"/>
      <c r="W47" s="336"/>
      <c r="X47" s="348"/>
      <c r="Y47" s="336"/>
      <c r="Z47" s="336"/>
      <c r="AA47" s="336"/>
      <c r="AB47" s="336"/>
      <c r="AC47" s="336"/>
      <c r="AD47" s="336"/>
      <c r="AE47" s="336"/>
      <c r="AF47" s="336"/>
      <c r="AG47" s="336"/>
      <c r="AH47" s="346"/>
      <c r="AI47" s="336"/>
      <c r="AJ47" s="346"/>
      <c r="AK47" s="336"/>
      <c r="AL47" s="346"/>
      <c r="AM47" s="170"/>
      <c r="AN47" s="174"/>
      <c r="AO47" s="336"/>
      <c r="AP47" s="358"/>
      <c r="AQ47" s="168"/>
      <c r="AR47" s="166"/>
      <c r="AS47" s="167"/>
      <c r="AT47" s="166"/>
      <c r="AU47" s="166"/>
      <c r="AV47" s="165"/>
      <c r="AW47" s="164"/>
      <c r="AX47" s="163"/>
      <c r="AY47" s="161"/>
      <c r="AZ47" s="161"/>
      <c r="BA47" s="162"/>
      <c r="BB47" s="161"/>
      <c r="BC47" s="161"/>
      <c r="BD47" s="160"/>
      <c r="BE47" s="158"/>
      <c r="BF47" s="158"/>
      <c r="BG47" s="159"/>
      <c r="BH47" s="158"/>
      <c r="BI47" s="158"/>
      <c r="BJ47" s="158"/>
      <c r="BK47" s="158"/>
      <c r="BL47" s="158"/>
      <c r="BM47" s="157"/>
      <c r="BN47" s="156"/>
      <c r="BO47" s="156"/>
      <c r="BP47" s="156"/>
      <c r="BQ47" s="156"/>
      <c r="BR47" s="155"/>
      <c r="BS47" s="154"/>
      <c r="BT47" s="154"/>
      <c r="BU47" s="153"/>
      <c r="BV47" s="153"/>
      <c r="BW47" s="152"/>
      <c r="BX47" s="151"/>
      <c r="BY47" s="151"/>
      <c r="BZ47" s="151"/>
      <c r="CA47" s="151"/>
      <c r="CB47" s="150"/>
      <c r="CC47" s="149"/>
      <c r="CD47" s="149"/>
      <c r="CE47" s="149"/>
      <c r="CF47" s="148"/>
    </row>
    <row r="48" spans="1:84" ht="15" customHeight="1" x14ac:dyDescent="0.25">
      <c r="A48" s="354"/>
      <c r="B48" s="178"/>
      <c r="C48" s="177"/>
      <c r="D48" s="348"/>
      <c r="E48" s="337"/>
      <c r="F48" s="336"/>
      <c r="G48" s="337"/>
      <c r="H48" s="336"/>
      <c r="I48" s="180"/>
      <c r="J48" s="346"/>
      <c r="K48" s="346"/>
      <c r="L48" s="347"/>
      <c r="M48" s="336"/>
      <c r="N48" s="336"/>
      <c r="O48" s="336"/>
      <c r="P48" s="336"/>
      <c r="Q48" s="336"/>
      <c r="R48" s="346"/>
      <c r="S48" s="336"/>
      <c r="T48" s="346"/>
      <c r="U48" s="336"/>
      <c r="V48" s="346"/>
      <c r="W48" s="336"/>
      <c r="X48" s="348"/>
      <c r="Y48" s="336"/>
      <c r="Z48" s="336"/>
      <c r="AA48" s="336"/>
      <c r="AB48" s="336"/>
      <c r="AC48" s="336"/>
      <c r="AD48" s="336"/>
      <c r="AE48" s="336"/>
      <c r="AF48" s="336"/>
      <c r="AG48" s="336"/>
      <c r="AH48" s="346"/>
      <c r="AI48" s="336"/>
      <c r="AJ48" s="346"/>
      <c r="AK48" s="336"/>
      <c r="AL48" s="346"/>
      <c r="AM48" s="170"/>
      <c r="AN48" s="174"/>
      <c r="AO48" s="336"/>
      <c r="AP48" s="358"/>
      <c r="AQ48" s="168"/>
      <c r="AR48" s="166"/>
      <c r="AS48" s="167"/>
      <c r="AT48" s="166"/>
      <c r="AU48" s="166"/>
      <c r="AV48" s="165"/>
      <c r="AW48" s="164"/>
      <c r="AX48" s="163"/>
      <c r="AY48" s="161"/>
      <c r="AZ48" s="161"/>
      <c r="BA48" s="162"/>
      <c r="BB48" s="161"/>
      <c r="BC48" s="161"/>
      <c r="BD48" s="160"/>
      <c r="BE48" s="158"/>
      <c r="BF48" s="158"/>
      <c r="BG48" s="159"/>
      <c r="BH48" s="158"/>
      <c r="BI48" s="158"/>
      <c r="BJ48" s="158"/>
      <c r="BK48" s="158"/>
      <c r="BL48" s="158"/>
      <c r="BM48" s="157"/>
      <c r="BN48" s="156"/>
      <c r="BO48" s="156"/>
      <c r="BP48" s="156"/>
      <c r="BQ48" s="156"/>
      <c r="BR48" s="155"/>
      <c r="BS48" s="154"/>
      <c r="BT48" s="154"/>
      <c r="BU48" s="153"/>
      <c r="BV48" s="153"/>
      <c r="BW48" s="152"/>
      <c r="BX48" s="151"/>
      <c r="BY48" s="151"/>
      <c r="BZ48" s="151"/>
      <c r="CA48" s="151"/>
      <c r="CB48" s="150"/>
      <c r="CC48" s="149"/>
      <c r="CD48" s="149"/>
      <c r="CE48" s="149"/>
      <c r="CF48" s="148"/>
    </row>
    <row r="49" spans="1:84" ht="15" customHeight="1" x14ac:dyDescent="0.25">
      <c r="A49" s="354"/>
      <c r="B49" s="178"/>
      <c r="C49" s="177"/>
      <c r="D49" s="348"/>
      <c r="E49" s="337"/>
      <c r="F49" s="336"/>
      <c r="G49" s="337"/>
      <c r="H49" s="336"/>
      <c r="I49" s="180"/>
      <c r="J49" s="346"/>
      <c r="K49" s="346"/>
      <c r="L49" s="347"/>
      <c r="M49" s="336"/>
      <c r="N49" s="336"/>
      <c r="O49" s="336"/>
      <c r="P49" s="336"/>
      <c r="Q49" s="336"/>
      <c r="R49" s="346"/>
      <c r="S49" s="336"/>
      <c r="T49" s="346"/>
      <c r="U49" s="336"/>
      <c r="V49" s="346"/>
      <c r="W49" s="336"/>
      <c r="X49" s="348"/>
      <c r="Y49" s="336"/>
      <c r="Z49" s="336"/>
      <c r="AA49" s="336"/>
      <c r="AB49" s="336"/>
      <c r="AC49" s="336"/>
      <c r="AD49" s="336"/>
      <c r="AE49" s="336"/>
      <c r="AF49" s="336"/>
      <c r="AG49" s="336"/>
      <c r="AH49" s="346"/>
      <c r="AI49" s="336"/>
      <c r="AJ49" s="346"/>
      <c r="AK49" s="336"/>
      <c r="AL49" s="346"/>
      <c r="AM49" s="170"/>
      <c r="AN49" s="174"/>
      <c r="AO49" s="336"/>
      <c r="AP49" s="358"/>
      <c r="AQ49" s="168"/>
      <c r="AR49" s="166"/>
      <c r="AS49" s="167"/>
      <c r="AT49" s="166"/>
      <c r="AU49" s="166"/>
      <c r="AV49" s="165"/>
      <c r="AW49" s="164"/>
      <c r="AX49" s="163"/>
      <c r="AY49" s="161"/>
      <c r="AZ49" s="161"/>
      <c r="BA49" s="162"/>
      <c r="BB49" s="161"/>
      <c r="BC49" s="161"/>
      <c r="BD49" s="160"/>
      <c r="BE49" s="158"/>
      <c r="BF49" s="158"/>
      <c r="BG49" s="159"/>
      <c r="BH49" s="158"/>
      <c r="BI49" s="158"/>
      <c r="BJ49" s="158"/>
      <c r="BK49" s="158"/>
      <c r="BL49" s="158"/>
      <c r="BM49" s="157"/>
      <c r="BN49" s="156"/>
      <c r="BO49" s="156"/>
      <c r="BP49" s="156"/>
      <c r="BQ49" s="156"/>
      <c r="BR49" s="155"/>
      <c r="BS49" s="154"/>
      <c r="BT49" s="154"/>
      <c r="BU49" s="153"/>
      <c r="BV49" s="153"/>
      <c r="BW49" s="152"/>
      <c r="BX49" s="151"/>
      <c r="BY49" s="151"/>
      <c r="BZ49" s="151"/>
      <c r="CA49" s="151"/>
      <c r="CB49" s="150"/>
      <c r="CC49" s="149"/>
      <c r="CD49" s="149"/>
      <c r="CE49" s="149"/>
      <c r="CF49" s="148"/>
    </row>
    <row r="50" spans="1:84" ht="15" customHeight="1" x14ac:dyDescent="0.25">
      <c r="A50" s="354"/>
      <c r="B50" s="178"/>
      <c r="C50" s="177"/>
      <c r="D50" s="348"/>
      <c r="E50" s="337"/>
      <c r="F50" s="336"/>
      <c r="G50" s="337"/>
      <c r="H50" s="336"/>
      <c r="I50" s="180"/>
      <c r="J50" s="346"/>
      <c r="K50" s="346"/>
      <c r="L50" s="347"/>
      <c r="M50" s="336"/>
      <c r="N50" s="336"/>
      <c r="O50" s="336"/>
      <c r="P50" s="336"/>
      <c r="Q50" s="336"/>
      <c r="R50" s="346"/>
      <c r="S50" s="336"/>
      <c r="T50" s="346"/>
      <c r="U50" s="336"/>
      <c r="V50" s="346"/>
      <c r="W50" s="336"/>
      <c r="X50" s="348"/>
      <c r="Y50" s="336"/>
      <c r="Z50" s="336"/>
      <c r="AA50" s="336"/>
      <c r="AB50" s="336"/>
      <c r="AC50" s="336"/>
      <c r="AD50" s="336"/>
      <c r="AE50" s="336"/>
      <c r="AF50" s="336"/>
      <c r="AG50" s="336"/>
      <c r="AH50" s="346"/>
      <c r="AI50" s="336"/>
      <c r="AJ50" s="346"/>
      <c r="AK50" s="336"/>
      <c r="AL50" s="346"/>
      <c r="AM50" s="170"/>
      <c r="AN50" s="174"/>
      <c r="AO50" s="336"/>
      <c r="AP50" s="358"/>
      <c r="AQ50" s="168"/>
      <c r="AR50" s="166"/>
      <c r="AS50" s="167"/>
      <c r="AT50" s="166"/>
      <c r="AU50" s="166"/>
      <c r="AV50" s="165"/>
      <c r="AW50" s="164"/>
      <c r="AX50" s="163"/>
      <c r="AY50" s="161"/>
      <c r="AZ50" s="161"/>
      <c r="BA50" s="162"/>
      <c r="BB50" s="161"/>
      <c r="BC50" s="161"/>
      <c r="BD50" s="160"/>
      <c r="BE50" s="158"/>
      <c r="BF50" s="158"/>
      <c r="BG50" s="159"/>
      <c r="BH50" s="158"/>
      <c r="BI50" s="158"/>
      <c r="BJ50" s="158"/>
      <c r="BK50" s="158"/>
      <c r="BL50" s="158"/>
      <c r="BM50" s="157"/>
      <c r="BN50" s="156"/>
      <c r="BO50" s="156"/>
      <c r="BP50" s="156"/>
      <c r="BQ50" s="156"/>
      <c r="BR50" s="155"/>
      <c r="BS50" s="154"/>
      <c r="BT50" s="154"/>
      <c r="BU50" s="153"/>
      <c r="BV50" s="153"/>
      <c r="BW50" s="152"/>
      <c r="BX50" s="151"/>
      <c r="BY50" s="151"/>
      <c r="BZ50" s="151"/>
      <c r="CA50" s="151"/>
      <c r="CB50" s="150"/>
      <c r="CC50" s="149"/>
      <c r="CD50" s="149"/>
      <c r="CE50" s="149"/>
      <c r="CF50" s="148"/>
    </row>
    <row r="51" spans="1:84" ht="15" customHeight="1" x14ac:dyDescent="0.25">
      <c r="A51" s="354"/>
      <c r="B51" s="178"/>
      <c r="C51" s="177"/>
      <c r="D51" s="348"/>
      <c r="E51" s="337"/>
      <c r="F51" s="336"/>
      <c r="G51" s="337"/>
      <c r="H51" s="336"/>
      <c r="I51" s="180"/>
      <c r="J51" s="346"/>
      <c r="K51" s="346"/>
      <c r="L51" s="347"/>
      <c r="M51" s="336"/>
      <c r="N51" s="336"/>
      <c r="O51" s="336"/>
      <c r="P51" s="336"/>
      <c r="Q51" s="336"/>
      <c r="R51" s="346"/>
      <c r="S51" s="336"/>
      <c r="T51" s="346"/>
      <c r="U51" s="336"/>
      <c r="V51" s="346"/>
      <c r="W51" s="336"/>
      <c r="X51" s="348"/>
      <c r="Y51" s="336"/>
      <c r="Z51" s="336"/>
      <c r="AA51" s="336"/>
      <c r="AB51" s="336"/>
      <c r="AC51" s="336"/>
      <c r="AD51" s="336"/>
      <c r="AE51" s="336"/>
      <c r="AF51" s="336"/>
      <c r="AG51" s="336"/>
      <c r="AH51" s="346"/>
      <c r="AI51" s="336"/>
      <c r="AJ51" s="346"/>
      <c r="AK51" s="336"/>
      <c r="AL51" s="346"/>
      <c r="AM51" s="170"/>
      <c r="AN51" s="174"/>
      <c r="AO51" s="336"/>
      <c r="AP51" s="358"/>
      <c r="AQ51" s="168"/>
      <c r="AR51" s="166"/>
      <c r="AS51" s="167"/>
      <c r="AT51" s="166"/>
      <c r="AU51" s="166"/>
      <c r="AV51" s="165"/>
      <c r="AW51" s="164"/>
      <c r="AX51" s="163"/>
      <c r="AY51" s="161"/>
      <c r="AZ51" s="161"/>
      <c r="BA51" s="162"/>
      <c r="BB51" s="161"/>
      <c r="BC51" s="161"/>
      <c r="BD51" s="160"/>
      <c r="BE51" s="158"/>
      <c r="BF51" s="158"/>
      <c r="BG51" s="159"/>
      <c r="BH51" s="158"/>
      <c r="BI51" s="158"/>
      <c r="BJ51" s="158"/>
      <c r="BK51" s="158"/>
      <c r="BL51" s="158"/>
      <c r="BM51" s="157"/>
      <c r="BN51" s="156"/>
      <c r="BO51" s="156"/>
      <c r="BP51" s="156"/>
      <c r="BQ51" s="156"/>
      <c r="BR51" s="155"/>
      <c r="BS51" s="154"/>
      <c r="BT51" s="154"/>
      <c r="BU51" s="153"/>
      <c r="BV51" s="153"/>
      <c r="BW51" s="152"/>
      <c r="BX51" s="151"/>
      <c r="BY51" s="151"/>
      <c r="BZ51" s="151"/>
      <c r="CA51" s="151"/>
      <c r="CB51" s="150"/>
      <c r="CC51" s="149"/>
      <c r="CD51" s="149"/>
      <c r="CE51" s="149"/>
      <c r="CF51" s="148"/>
    </row>
    <row r="52" spans="1:84" ht="15" customHeight="1" x14ac:dyDescent="0.25">
      <c r="A52" s="354"/>
      <c r="B52" s="178"/>
      <c r="C52" s="177"/>
      <c r="D52" s="348"/>
      <c r="E52" s="337"/>
      <c r="F52" s="336"/>
      <c r="G52" s="337"/>
      <c r="H52" s="336"/>
      <c r="I52" s="180"/>
      <c r="J52" s="346"/>
      <c r="K52" s="346"/>
      <c r="L52" s="347"/>
      <c r="M52" s="336"/>
      <c r="N52" s="336"/>
      <c r="O52" s="336"/>
      <c r="P52" s="336"/>
      <c r="Q52" s="336"/>
      <c r="R52" s="346"/>
      <c r="S52" s="336"/>
      <c r="T52" s="346"/>
      <c r="U52" s="336"/>
      <c r="V52" s="346"/>
      <c r="W52" s="336"/>
      <c r="X52" s="348"/>
      <c r="Y52" s="336"/>
      <c r="Z52" s="336"/>
      <c r="AA52" s="336"/>
      <c r="AB52" s="336"/>
      <c r="AC52" s="336"/>
      <c r="AD52" s="336"/>
      <c r="AE52" s="336"/>
      <c r="AF52" s="336"/>
      <c r="AG52" s="336"/>
      <c r="AH52" s="346"/>
      <c r="AI52" s="336"/>
      <c r="AJ52" s="346"/>
      <c r="AK52" s="336"/>
      <c r="AL52" s="346"/>
      <c r="AM52" s="170"/>
      <c r="AN52" s="174"/>
      <c r="AO52" s="336"/>
      <c r="AP52" s="358"/>
      <c r="AQ52" s="168"/>
      <c r="AR52" s="166"/>
      <c r="AS52" s="167"/>
      <c r="AT52" s="166"/>
      <c r="AU52" s="166"/>
      <c r="AV52" s="165"/>
      <c r="AW52" s="164"/>
      <c r="AX52" s="163"/>
      <c r="AY52" s="161"/>
      <c r="AZ52" s="161"/>
      <c r="BA52" s="162"/>
      <c r="BB52" s="161"/>
      <c r="BC52" s="161"/>
      <c r="BD52" s="160"/>
      <c r="BE52" s="158"/>
      <c r="BF52" s="158"/>
      <c r="BG52" s="159"/>
      <c r="BH52" s="158"/>
      <c r="BI52" s="158"/>
      <c r="BJ52" s="158"/>
      <c r="BK52" s="158"/>
      <c r="BL52" s="158"/>
      <c r="BM52" s="157"/>
      <c r="BN52" s="156"/>
      <c r="BO52" s="156"/>
      <c r="BP52" s="156"/>
      <c r="BQ52" s="156"/>
      <c r="BR52" s="155"/>
      <c r="BS52" s="154"/>
      <c r="BT52" s="154"/>
      <c r="BU52" s="153"/>
      <c r="BV52" s="153"/>
      <c r="BW52" s="152"/>
      <c r="BX52" s="151"/>
      <c r="BY52" s="151"/>
      <c r="BZ52" s="151"/>
      <c r="CA52" s="151"/>
      <c r="CB52" s="150"/>
      <c r="CC52" s="149"/>
      <c r="CD52" s="149"/>
      <c r="CE52" s="149"/>
      <c r="CF52" s="148"/>
    </row>
    <row r="53" spans="1:84" ht="15" customHeight="1" x14ac:dyDescent="0.25">
      <c r="A53" s="354"/>
      <c r="B53" s="178"/>
      <c r="C53" s="177"/>
      <c r="D53" s="348"/>
      <c r="E53" s="337"/>
      <c r="F53" s="336"/>
      <c r="G53" s="337"/>
      <c r="H53" s="336"/>
      <c r="I53" s="180"/>
      <c r="J53" s="346"/>
      <c r="K53" s="346"/>
      <c r="L53" s="347"/>
      <c r="M53" s="336"/>
      <c r="N53" s="336"/>
      <c r="O53" s="336"/>
      <c r="P53" s="336"/>
      <c r="Q53" s="336"/>
      <c r="R53" s="346"/>
      <c r="S53" s="336"/>
      <c r="T53" s="346"/>
      <c r="U53" s="336"/>
      <c r="V53" s="346"/>
      <c r="W53" s="336"/>
      <c r="X53" s="348"/>
      <c r="Y53" s="336"/>
      <c r="Z53" s="336"/>
      <c r="AA53" s="336"/>
      <c r="AB53" s="336"/>
      <c r="AC53" s="336"/>
      <c r="AD53" s="336"/>
      <c r="AE53" s="336"/>
      <c r="AF53" s="336"/>
      <c r="AG53" s="336"/>
      <c r="AH53" s="346"/>
      <c r="AI53" s="336"/>
      <c r="AJ53" s="346"/>
      <c r="AK53" s="336"/>
      <c r="AL53" s="346"/>
      <c r="AM53" s="170"/>
      <c r="AN53" s="174"/>
      <c r="AO53" s="336"/>
      <c r="AP53" s="358"/>
      <c r="AQ53" s="168"/>
      <c r="AR53" s="166"/>
      <c r="AS53" s="167"/>
      <c r="AT53" s="166"/>
      <c r="AU53" s="166"/>
      <c r="AV53" s="165"/>
      <c r="AW53" s="164"/>
      <c r="AX53" s="163"/>
      <c r="AY53" s="161"/>
      <c r="AZ53" s="161"/>
      <c r="BA53" s="162"/>
      <c r="BB53" s="161"/>
      <c r="BC53" s="161"/>
      <c r="BD53" s="160"/>
      <c r="BE53" s="158"/>
      <c r="BF53" s="158"/>
      <c r="BG53" s="159"/>
      <c r="BH53" s="158"/>
      <c r="BI53" s="158"/>
      <c r="BJ53" s="158"/>
      <c r="BK53" s="158"/>
      <c r="BL53" s="158"/>
      <c r="BM53" s="157"/>
      <c r="BN53" s="156"/>
      <c r="BO53" s="156"/>
      <c r="BP53" s="156"/>
      <c r="BQ53" s="156"/>
      <c r="BR53" s="155"/>
      <c r="BS53" s="154"/>
      <c r="BT53" s="154"/>
      <c r="BU53" s="153"/>
      <c r="BV53" s="153"/>
      <c r="BW53" s="152"/>
      <c r="BX53" s="151"/>
      <c r="BY53" s="151"/>
      <c r="BZ53" s="151"/>
      <c r="CA53" s="151"/>
      <c r="CB53" s="150"/>
      <c r="CC53" s="149"/>
      <c r="CD53" s="149"/>
      <c r="CE53" s="149"/>
      <c r="CF53" s="148"/>
    </row>
    <row r="54" spans="1:84" ht="15" customHeight="1" x14ac:dyDescent="0.25">
      <c r="A54" s="354"/>
      <c r="B54" s="178"/>
      <c r="C54" s="177"/>
      <c r="D54" s="348"/>
      <c r="E54" s="337"/>
      <c r="F54" s="336"/>
      <c r="G54" s="337"/>
      <c r="H54" s="336"/>
      <c r="I54" s="180"/>
      <c r="J54" s="346"/>
      <c r="K54" s="346"/>
      <c r="L54" s="347"/>
      <c r="M54" s="336"/>
      <c r="N54" s="336"/>
      <c r="O54" s="336"/>
      <c r="P54" s="336"/>
      <c r="Q54" s="336"/>
      <c r="R54" s="346"/>
      <c r="S54" s="336"/>
      <c r="T54" s="346"/>
      <c r="U54" s="336"/>
      <c r="V54" s="346"/>
      <c r="W54" s="336"/>
      <c r="X54" s="348"/>
      <c r="Y54" s="336"/>
      <c r="Z54" s="336"/>
      <c r="AA54" s="336"/>
      <c r="AB54" s="336"/>
      <c r="AC54" s="336"/>
      <c r="AD54" s="336"/>
      <c r="AE54" s="336"/>
      <c r="AF54" s="336"/>
      <c r="AG54" s="336"/>
      <c r="AH54" s="346"/>
      <c r="AI54" s="336"/>
      <c r="AJ54" s="346"/>
      <c r="AK54" s="336"/>
      <c r="AL54" s="346"/>
      <c r="AM54" s="170"/>
      <c r="AN54" s="174"/>
      <c r="AO54" s="336"/>
      <c r="AP54" s="358"/>
      <c r="AQ54" s="168"/>
      <c r="AR54" s="166"/>
      <c r="AS54" s="167"/>
      <c r="AT54" s="166"/>
      <c r="AU54" s="166"/>
      <c r="AV54" s="165"/>
      <c r="AW54" s="164"/>
      <c r="AX54" s="163"/>
      <c r="AY54" s="161"/>
      <c r="AZ54" s="161"/>
      <c r="BA54" s="162"/>
      <c r="BB54" s="161"/>
      <c r="BC54" s="161"/>
      <c r="BD54" s="160"/>
      <c r="BE54" s="158"/>
      <c r="BF54" s="158"/>
      <c r="BG54" s="159"/>
      <c r="BH54" s="158"/>
      <c r="BI54" s="158"/>
      <c r="BJ54" s="158"/>
      <c r="BK54" s="158"/>
      <c r="BL54" s="158"/>
      <c r="BM54" s="157"/>
      <c r="BN54" s="156"/>
      <c r="BO54" s="156"/>
      <c r="BP54" s="156"/>
      <c r="BQ54" s="156"/>
      <c r="BR54" s="155"/>
      <c r="BS54" s="154"/>
      <c r="BT54" s="154"/>
      <c r="BU54" s="153"/>
      <c r="BV54" s="153"/>
      <c r="BW54" s="152"/>
      <c r="BX54" s="151"/>
      <c r="BY54" s="151"/>
      <c r="BZ54" s="151"/>
      <c r="CA54" s="151"/>
      <c r="CB54" s="150"/>
      <c r="CC54" s="149"/>
      <c r="CD54" s="149"/>
      <c r="CE54" s="149"/>
      <c r="CF54" s="148"/>
    </row>
    <row r="55" spans="1:84" ht="15" customHeight="1" x14ac:dyDescent="0.25">
      <c r="A55" s="354"/>
      <c r="B55" s="178"/>
      <c r="C55" s="177"/>
      <c r="D55" s="348"/>
      <c r="E55" s="337"/>
      <c r="F55" s="336"/>
      <c r="G55" s="337"/>
      <c r="H55" s="336"/>
      <c r="I55" s="180"/>
      <c r="J55" s="346"/>
      <c r="K55" s="346"/>
      <c r="L55" s="347"/>
      <c r="M55" s="336"/>
      <c r="N55" s="336"/>
      <c r="O55" s="336"/>
      <c r="P55" s="336"/>
      <c r="Q55" s="336"/>
      <c r="R55" s="346"/>
      <c r="S55" s="336"/>
      <c r="T55" s="346"/>
      <c r="U55" s="336"/>
      <c r="V55" s="346"/>
      <c r="W55" s="336"/>
      <c r="X55" s="348"/>
      <c r="Y55" s="336"/>
      <c r="Z55" s="336"/>
      <c r="AA55" s="336"/>
      <c r="AB55" s="336"/>
      <c r="AC55" s="336"/>
      <c r="AD55" s="336"/>
      <c r="AE55" s="336"/>
      <c r="AF55" s="336"/>
      <c r="AG55" s="336"/>
      <c r="AH55" s="346"/>
      <c r="AI55" s="336"/>
      <c r="AJ55" s="346"/>
      <c r="AK55" s="336"/>
      <c r="AL55" s="346"/>
      <c r="AM55" s="170"/>
      <c r="AN55" s="174"/>
      <c r="AO55" s="336"/>
      <c r="AP55" s="358"/>
      <c r="AQ55" s="168"/>
      <c r="AR55" s="166"/>
      <c r="AS55" s="167"/>
      <c r="AT55" s="166"/>
      <c r="AU55" s="166"/>
      <c r="AV55" s="165"/>
      <c r="AW55" s="164"/>
      <c r="AX55" s="163"/>
      <c r="AY55" s="161"/>
      <c r="AZ55" s="161"/>
      <c r="BA55" s="162"/>
      <c r="BB55" s="161"/>
      <c r="BC55" s="161"/>
      <c r="BD55" s="160"/>
      <c r="BE55" s="158"/>
      <c r="BF55" s="158"/>
      <c r="BG55" s="159"/>
      <c r="BH55" s="158"/>
      <c r="BI55" s="158"/>
      <c r="BJ55" s="158"/>
      <c r="BK55" s="158"/>
      <c r="BL55" s="158"/>
      <c r="BM55" s="157"/>
      <c r="BN55" s="156"/>
      <c r="BO55" s="156"/>
      <c r="BP55" s="156"/>
      <c r="BQ55" s="156"/>
      <c r="BR55" s="155"/>
      <c r="BS55" s="154"/>
      <c r="BT55" s="154"/>
      <c r="BU55" s="153"/>
      <c r="BV55" s="153"/>
      <c r="BW55" s="152"/>
      <c r="BX55" s="151"/>
      <c r="BY55" s="151"/>
      <c r="BZ55" s="151"/>
      <c r="CA55" s="151"/>
      <c r="CB55" s="150"/>
      <c r="CC55" s="149"/>
      <c r="CD55" s="149"/>
      <c r="CE55" s="149"/>
      <c r="CF55" s="148"/>
    </row>
    <row r="56" spans="1:84" ht="15" customHeight="1" x14ac:dyDescent="0.25">
      <c r="A56" s="354"/>
      <c r="B56" s="178"/>
      <c r="C56" s="177"/>
      <c r="D56" s="348"/>
      <c r="E56" s="337"/>
      <c r="F56" s="336"/>
      <c r="G56" s="337"/>
      <c r="H56" s="336"/>
      <c r="I56" s="180"/>
      <c r="J56" s="346"/>
      <c r="K56" s="346"/>
      <c r="L56" s="347"/>
      <c r="M56" s="336"/>
      <c r="N56" s="336"/>
      <c r="O56" s="336"/>
      <c r="P56" s="336"/>
      <c r="Q56" s="336"/>
      <c r="R56" s="346"/>
      <c r="S56" s="336"/>
      <c r="T56" s="346"/>
      <c r="U56" s="336"/>
      <c r="V56" s="346"/>
      <c r="W56" s="336"/>
      <c r="X56" s="348"/>
      <c r="Y56" s="336"/>
      <c r="Z56" s="336"/>
      <c r="AA56" s="336"/>
      <c r="AB56" s="336"/>
      <c r="AC56" s="336"/>
      <c r="AD56" s="336"/>
      <c r="AE56" s="336"/>
      <c r="AF56" s="336"/>
      <c r="AG56" s="336"/>
      <c r="AH56" s="346"/>
      <c r="AI56" s="336"/>
      <c r="AJ56" s="346"/>
      <c r="AK56" s="336"/>
      <c r="AL56" s="346"/>
      <c r="AM56" s="170"/>
      <c r="AN56" s="174"/>
      <c r="AO56" s="336"/>
      <c r="AP56" s="358"/>
      <c r="AQ56" s="168"/>
      <c r="AR56" s="166"/>
      <c r="AS56" s="167"/>
      <c r="AT56" s="166"/>
      <c r="AU56" s="166"/>
      <c r="AV56" s="165"/>
      <c r="AW56" s="164"/>
      <c r="AX56" s="163"/>
      <c r="AY56" s="161"/>
      <c r="AZ56" s="161"/>
      <c r="BA56" s="162"/>
      <c r="BB56" s="161"/>
      <c r="BC56" s="161"/>
      <c r="BD56" s="160"/>
      <c r="BE56" s="158"/>
      <c r="BF56" s="158"/>
      <c r="BG56" s="159"/>
      <c r="BH56" s="158"/>
      <c r="BI56" s="158"/>
      <c r="BJ56" s="158"/>
      <c r="BK56" s="158"/>
      <c r="BL56" s="158"/>
      <c r="BM56" s="157"/>
      <c r="BN56" s="156"/>
      <c r="BO56" s="156"/>
      <c r="BP56" s="156"/>
      <c r="BQ56" s="156"/>
      <c r="BR56" s="155"/>
      <c r="BS56" s="154"/>
      <c r="BT56" s="154"/>
      <c r="BU56" s="153"/>
      <c r="BV56" s="153"/>
      <c r="BW56" s="152"/>
      <c r="BX56" s="151"/>
      <c r="BY56" s="151"/>
      <c r="BZ56" s="151"/>
      <c r="CA56" s="151"/>
      <c r="CB56" s="150"/>
      <c r="CC56" s="149"/>
      <c r="CD56" s="149"/>
      <c r="CE56" s="149"/>
      <c r="CF56" s="148"/>
    </row>
    <row r="57" spans="1:84" ht="15" customHeight="1" x14ac:dyDescent="0.25">
      <c r="A57" s="354"/>
      <c r="B57" s="178"/>
      <c r="C57" s="177"/>
      <c r="D57" s="348"/>
      <c r="E57" s="337"/>
      <c r="F57" s="336"/>
      <c r="G57" s="337"/>
      <c r="H57" s="336"/>
      <c r="I57" s="180"/>
      <c r="J57" s="346"/>
      <c r="K57" s="346"/>
      <c r="L57" s="347"/>
      <c r="M57" s="336"/>
      <c r="N57" s="336"/>
      <c r="O57" s="336"/>
      <c r="P57" s="336"/>
      <c r="Q57" s="336"/>
      <c r="R57" s="346"/>
      <c r="S57" s="336"/>
      <c r="T57" s="346"/>
      <c r="U57" s="336"/>
      <c r="V57" s="346"/>
      <c r="W57" s="336"/>
      <c r="X57" s="348"/>
      <c r="Y57" s="336"/>
      <c r="Z57" s="336"/>
      <c r="AA57" s="336"/>
      <c r="AB57" s="336"/>
      <c r="AC57" s="336"/>
      <c r="AD57" s="336"/>
      <c r="AE57" s="336"/>
      <c r="AF57" s="336"/>
      <c r="AG57" s="336"/>
      <c r="AH57" s="346"/>
      <c r="AI57" s="336"/>
      <c r="AJ57" s="346"/>
      <c r="AK57" s="336"/>
      <c r="AL57" s="346"/>
      <c r="AM57" s="170"/>
      <c r="AN57" s="174"/>
      <c r="AO57" s="336"/>
      <c r="AP57" s="358"/>
      <c r="AQ57" s="168"/>
      <c r="AR57" s="166"/>
      <c r="AS57" s="167"/>
      <c r="AT57" s="166"/>
      <c r="AU57" s="166"/>
      <c r="AV57" s="165"/>
      <c r="AW57" s="164"/>
      <c r="AX57" s="163"/>
      <c r="AY57" s="161"/>
      <c r="AZ57" s="161"/>
      <c r="BA57" s="162"/>
      <c r="BB57" s="161"/>
      <c r="BC57" s="161"/>
      <c r="BD57" s="160"/>
      <c r="BE57" s="158"/>
      <c r="BF57" s="158"/>
      <c r="BG57" s="159"/>
      <c r="BH57" s="158"/>
      <c r="BI57" s="158"/>
      <c r="BJ57" s="158"/>
      <c r="BK57" s="158"/>
      <c r="BL57" s="158"/>
      <c r="BM57" s="157"/>
      <c r="BN57" s="156"/>
      <c r="BO57" s="156"/>
      <c r="BP57" s="156"/>
      <c r="BQ57" s="156"/>
      <c r="BR57" s="155"/>
      <c r="BS57" s="154"/>
      <c r="BT57" s="154"/>
      <c r="BU57" s="153"/>
      <c r="BV57" s="153"/>
      <c r="BW57" s="152"/>
      <c r="BX57" s="151"/>
      <c r="BY57" s="151"/>
      <c r="BZ57" s="151"/>
      <c r="CA57" s="151"/>
      <c r="CB57" s="150"/>
      <c r="CC57" s="149"/>
      <c r="CD57" s="149"/>
      <c r="CE57" s="149"/>
      <c r="CF57" s="148"/>
    </row>
    <row r="58" spans="1:84" ht="15" customHeight="1" x14ac:dyDescent="0.25">
      <c r="A58" s="355"/>
      <c r="B58" s="172"/>
      <c r="C58" s="171"/>
      <c r="D58" s="351"/>
      <c r="E58" s="340"/>
      <c r="F58" s="339"/>
      <c r="G58" s="340"/>
      <c r="H58" s="339"/>
      <c r="I58" s="341"/>
      <c r="J58" s="349"/>
      <c r="K58" s="349"/>
      <c r="L58" s="350"/>
      <c r="M58" s="339"/>
      <c r="N58" s="339"/>
      <c r="O58" s="339"/>
      <c r="P58" s="339"/>
      <c r="Q58" s="339"/>
      <c r="R58" s="349"/>
      <c r="S58" s="336"/>
      <c r="T58" s="349"/>
      <c r="U58" s="336"/>
      <c r="V58" s="349"/>
      <c r="W58" s="336"/>
      <c r="X58" s="351"/>
      <c r="Y58" s="336"/>
      <c r="Z58" s="339"/>
      <c r="AA58" s="352"/>
      <c r="AB58" s="339"/>
      <c r="AC58" s="339"/>
      <c r="AD58" s="339"/>
      <c r="AE58" s="352"/>
      <c r="AF58" s="339"/>
      <c r="AG58" s="339"/>
      <c r="AH58" s="349"/>
      <c r="AI58" s="352"/>
      <c r="AJ58" s="349"/>
      <c r="AK58" s="352"/>
      <c r="AL58" s="349"/>
      <c r="AM58" s="169"/>
      <c r="AN58" s="357"/>
      <c r="AO58" s="339"/>
      <c r="AP58" s="360"/>
      <c r="AQ58" s="168"/>
      <c r="AR58" s="166"/>
      <c r="AS58" s="167"/>
      <c r="AT58" s="166"/>
      <c r="AU58" s="166"/>
      <c r="AV58" s="165"/>
      <c r="AW58" s="164"/>
      <c r="AX58" s="163"/>
      <c r="AY58" s="161"/>
      <c r="AZ58" s="161"/>
      <c r="BA58" s="162"/>
      <c r="BB58" s="161"/>
      <c r="BC58" s="161"/>
      <c r="BD58" s="160"/>
      <c r="BE58" s="158"/>
      <c r="BF58" s="158"/>
      <c r="BG58" s="159"/>
      <c r="BH58" s="158"/>
      <c r="BI58" s="158"/>
      <c r="BJ58" s="158"/>
      <c r="BK58" s="158"/>
      <c r="BL58" s="158"/>
      <c r="BM58" s="157"/>
      <c r="BN58" s="156"/>
      <c r="BO58" s="156"/>
      <c r="BP58" s="156"/>
      <c r="BQ58" s="156"/>
      <c r="BR58" s="155"/>
      <c r="BS58" s="154"/>
      <c r="BT58" s="154"/>
      <c r="BU58" s="153"/>
      <c r="BV58" s="153"/>
      <c r="BW58" s="152"/>
      <c r="BX58" s="151"/>
      <c r="BY58" s="151"/>
      <c r="BZ58" s="151"/>
      <c r="CA58" s="151"/>
      <c r="CB58" s="150"/>
      <c r="CC58" s="149"/>
      <c r="CD58" s="149"/>
      <c r="CE58" s="149"/>
      <c r="CF58" s="148"/>
    </row>
    <row r="59" spans="1:84" s="110" customFormat="1" ht="11.25" x14ac:dyDescent="0.2">
      <c r="A59" s="231" t="s">
        <v>176</v>
      </c>
      <c r="B59" s="232"/>
      <c r="C59" s="233"/>
      <c r="D59" s="234"/>
      <c r="E59" s="233"/>
      <c r="F59" s="235"/>
      <c r="G59" s="235"/>
      <c r="H59" s="233"/>
      <c r="I59" s="233"/>
      <c r="J59" s="233"/>
      <c r="K59" s="233"/>
      <c r="L59" s="234"/>
      <c r="M59" s="233"/>
      <c r="N59" s="233"/>
      <c r="O59" s="233"/>
      <c r="P59" s="233"/>
      <c r="Q59" s="233"/>
      <c r="R59" s="236"/>
      <c r="S59" s="236"/>
      <c r="T59" s="237"/>
      <c r="U59" s="237"/>
      <c r="V59" s="236"/>
      <c r="W59" s="236"/>
      <c r="X59" s="236"/>
      <c r="Y59" s="236"/>
      <c r="Z59" s="233"/>
      <c r="AA59" s="64"/>
      <c r="AB59" s="233"/>
      <c r="AC59" s="233"/>
      <c r="AD59" s="233"/>
      <c r="AE59" s="64"/>
      <c r="AF59" s="233"/>
      <c r="AG59" s="238"/>
      <c r="AH59" s="237"/>
      <c r="AI59" s="237"/>
      <c r="AJ59" s="237"/>
      <c r="AK59" s="237"/>
      <c r="AL59" s="237"/>
      <c r="AM59" s="237"/>
      <c r="AN59" s="233"/>
      <c r="AO59" s="233"/>
      <c r="AP59" s="233"/>
      <c r="AQ59" s="239"/>
      <c r="AR59" s="111"/>
      <c r="AS59" s="111"/>
      <c r="AT59" s="111"/>
      <c r="AU59" s="111">
        <v>1</v>
      </c>
      <c r="AV59" s="147"/>
      <c r="AW59" s="147"/>
      <c r="AX59" s="146"/>
      <c r="BA59" s="145"/>
      <c r="BD59" s="145"/>
      <c r="BE59" s="145"/>
      <c r="BF59" s="145"/>
      <c r="BG59" s="145"/>
      <c r="BH59" s="145"/>
      <c r="BI59" s="145"/>
      <c r="BJ59" s="145"/>
      <c r="BK59" s="145"/>
      <c r="BL59" s="145"/>
      <c r="BM59" s="144"/>
    </row>
    <row r="60" spans="1:84" s="111" customFormat="1" ht="11.25" x14ac:dyDescent="0.2">
      <c r="A60" s="240" t="s">
        <v>175</v>
      </c>
      <c r="B60" s="241"/>
      <c r="C60" s="242" t="s">
        <v>279</v>
      </c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1"/>
      <c r="AB60" s="140"/>
      <c r="AC60" s="140"/>
      <c r="AD60" s="140"/>
      <c r="AE60" s="141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3"/>
      <c r="AR60" s="141"/>
      <c r="AS60" s="142"/>
      <c r="AT60" s="141"/>
      <c r="AU60" s="141"/>
      <c r="AV60" s="140"/>
      <c r="AW60" s="140"/>
      <c r="AX60" s="140"/>
      <c r="AY60" s="140"/>
      <c r="AZ60" s="140"/>
      <c r="BA60" s="140"/>
      <c r="BB60" s="140"/>
      <c r="BC60" s="140"/>
      <c r="BD60" s="140"/>
      <c r="BE60" s="118"/>
      <c r="BF60" s="118"/>
      <c r="BG60" s="118"/>
      <c r="BH60" s="118"/>
      <c r="BI60" s="118"/>
      <c r="BJ60" s="118"/>
      <c r="BK60" s="118"/>
      <c r="BL60" s="118"/>
      <c r="BM60" s="117"/>
    </row>
    <row r="61" spans="1:84" s="111" customFormat="1" ht="11.25" x14ac:dyDescent="0.2">
      <c r="A61" s="243" t="s">
        <v>174</v>
      </c>
      <c r="B61" s="244"/>
      <c r="C61" s="64" t="s">
        <v>280</v>
      </c>
      <c r="D61" s="215" t="s">
        <v>281</v>
      </c>
      <c r="E61" s="245" t="s">
        <v>290</v>
      </c>
      <c r="F61" s="127"/>
      <c r="G61" s="127"/>
      <c r="H61" s="127"/>
      <c r="I61" s="127"/>
      <c r="J61" s="127"/>
      <c r="K61" s="127"/>
      <c r="L61" s="127"/>
      <c r="M61" s="127"/>
      <c r="N61" s="246"/>
      <c r="O61" s="24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8"/>
      <c r="AB61" s="127"/>
      <c r="AC61" s="127"/>
      <c r="AD61" s="127"/>
      <c r="AE61" s="128"/>
      <c r="AF61" s="127"/>
      <c r="AG61" s="127"/>
      <c r="AH61" s="127"/>
      <c r="AI61" s="127"/>
      <c r="AJ61" s="127"/>
      <c r="AK61" s="127"/>
      <c r="AL61" s="127"/>
      <c r="AM61" s="127"/>
      <c r="AN61" s="127"/>
      <c r="AO61" s="127"/>
      <c r="AP61" s="127"/>
      <c r="AQ61" s="130"/>
      <c r="AR61" s="128"/>
      <c r="AS61" s="131"/>
      <c r="AT61" s="128"/>
      <c r="AU61" s="128"/>
      <c r="AV61" s="127"/>
      <c r="AW61" s="127"/>
      <c r="AX61" s="127"/>
      <c r="AY61" s="127"/>
      <c r="AZ61" s="127"/>
      <c r="BA61" s="127"/>
      <c r="BB61" s="127"/>
      <c r="BC61" s="127"/>
      <c r="BD61" s="127"/>
      <c r="BE61" s="118"/>
      <c r="BF61" s="118"/>
      <c r="BG61" s="118"/>
      <c r="BH61" s="118"/>
      <c r="BI61" s="118"/>
      <c r="BJ61" s="118"/>
      <c r="BK61" s="118"/>
      <c r="BL61" s="118"/>
      <c r="BM61" s="117"/>
    </row>
    <row r="62" spans="1:84" s="111" customFormat="1" ht="11.25" x14ac:dyDescent="0.2">
      <c r="A62" s="243" t="s">
        <v>173</v>
      </c>
      <c r="B62" s="244"/>
      <c r="C62" s="248" t="s">
        <v>283</v>
      </c>
      <c r="D62" s="127"/>
      <c r="E62" s="64"/>
      <c r="F62" s="64"/>
      <c r="G62" s="64"/>
      <c r="H62" s="64"/>
      <c r="I62" s="64"/>
      <c r="J62" s="64"/>
      <c r="K62" s="64"/>
      <c r="L62" s="127"/>
      <c r="M62" s="64"/>
      <c r="N62" s="249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128"/>
      <c r="AB62" s="64"/>
      <c r="AC62" s="64"/>
      <c r="AD62" s="64"/>
      <c r="AE62" s="128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130"/>
      <c r="AR62" s="128"/>
      <c r="AS62" s="132"/>
      <c r="AT62" s="128"/>
      <c r="AU62" s="128"/>
      <c r="AV62" s="127"/>
      <c r="AW62" s="127"/>
      <c r="AX62" s="127"/>
      <c r="AY62" s="127"/>
      <c r="AZ62" s="127"/>
      <c r="BA62" s="127"/>
      <c r="BB62" s="127"/>
      <c r="BC62" s="127"/>
      <c r="BD62" s="127"/>
      <c r="BE62" s="118"/>
      <c r="BF62" s="118"/>
      <c r="BG62" s="118"/>
      <c r="BH62" s="118"/>
      <c r="BI62" s="118"/>
      <c r="BJ62" s="118"/>
      <c r="BK62" s="118"/>
      <c r="BL62" s="118"/>
      <c r="BM62" s="117"/>
    </row>
    <row r="63" spans="1:84" s="111" customFormat="1" ht="11.25" x14ac:dyDescent="0.2">
      <c r="A63" s="243" t="s">
        <v>172</v>
      </c>
      <c r="B63" s="244"/>
      <c r="C63" s="64" t="s">
        <v>282</v>
      </c>
      <c r="D63" s="127"/>
      <c r="E63" s="64"/>
      <c r="F63" s="64"/>
      <c r="G63" s="64"/>
      <c r="H63" s="64"/>
      <c r="I63" s="64"/>
      <c r="J63" s="64"/>
      <c r="K63" s="64"/>
      <c r="L63" s="127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128"/>
      <c r="AB63" s="64"/>
      <c r="AC63" s="64"/>
      <c r="AD63" s="64"/>
      <c r="AE63" s="128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130"/>
      <c r="AR63" s="128"/>
      <c r="AS63" s="129"/>
      <c r="AT63" s="128"/>
      <c r="AU63" s="128"/>
      <c r="AV63" s="127"/>
      <c r="AW63" s="127"/>
      <c r="AX63" s="127"/>
      <c r="AY63" s="127"/>
      <c r="AZ63" s="127"/>
      <c r="BA63" s="127"/>
      <c r="BB63" s="127"/>
      <c r="BC63" s="127"/>
      <c r="BD63" s="127"/>
      <c r="BE63" s="118"/>
      <c r="BF63" s="118"/>
      <c r="BG63" s="118"/>
      <c r="BH63" s="118"/>
      <c r="BI63" s="118"/>
      <c r="BJ63" s="118"/>
      <c r="BK63" s="118"/>
      <c r="BL63" s="118"/>
      <c r="BM63" s="117"/>
    </row>
    <row r="64" spans="1:84" s="111" customFormat="1" ht="11.25" x14ac:dyDescent="0.2">
      <c r="A64" s="243" t="s">
        <v>171</v>
      </c>
      <c r="B64" s="244"/>
      <c r="C64" s="248" t="s">
        <v>284</v>
      </c>
      <c r="D64" s="127"/>
      <c r="E64" s="64"/>
      <c r="F64" s="64"/>
      <c r="G64" s="64"/>
      <c r="H64" s="64"/>
      <c r="I64" s="64"/>
      <c r="J64" s="64"/>
      <c r="K64" s="64"/>
      <c r="L64" s="127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128"/>
      <c r="AB64" s="64"/>
      <c r="AC64" s="64"/>
      <c r="AD64" s="64"/>
      <c r="AE64" s="128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130"/>
      <c r="AR64" s="128"/>
      <c r="AS64" s="129"/>
      <c r="AT64" s="128"/>
      <c r="AU64" s="128"/>
      <c r="AV64" s="127"/>
      <c r="AW64" s="127"/>
      <c r="AX64" s="127"/>
      <c r="AY64" s="127"/>
      <c r="AZ64" s="127"/>
      <c r="BA64" s="127"/>
      <c r="BB64" s="127"/>
      <c r="BC64" s="127"/>
      <c r="BD64" s="127"/>
      <c r="BE64" s="118"/>
      <c r="BF64" s="118"/>
      <c r="BG64" s="118"/>
      <c r="BH64" s="118"/>
      <c r="BI64" s="118"/>
      <c r="BJ64" s="118"/>
      <c r="BK64" s="118"/>
      <c r="BL64" s="118"/>
      <c r="BM64" s="117"/>
    </row>
    <row r="65" spans="1:65" s="111" customFormat="1" ht="11.25" x14ac:dyDescent="0.2">
      <c r="A65" s="243" t="s">
        <v>170</v>
      </c>
      <c r="B65" s="244"/>
      <c r="C65" s="248" t="s">
        <v>285</v>
      </c>
      <c r="D65" s="127"/>
      <c r="E65" s="64"/>
      <c r="F65" s="64"/>
      <c r="G65" s="64"/>
      <c r="H65" s="64"/>
      <c r="I65" s="64"/>
      <c r="J65" s="64"/>
      <c r="K65" s="64"/>
      <c r="L65" s="127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128"/>
      <c r="AB65" s="64"/>
      <c r="AC65" s="64"/>
      <c r="AD65" s="64"/>
      <c r="AE65" s="128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130"/>
      <c r="AR65" s="128"/>
      <c r="AS65" s="129"/>
      <c r="AT65" s="128"/>
      <c r="AU65" s="128"/>
      <c r="AV65" s="127"/>
      <c r="AW65" s="127"/>
      <c r="AX65" s="127"/>
      <c r="AY65" s="127"/>
      <c r="AZ65" s="127"/>
      <c r="BA65" s="127"/>
      <c r="BB65" s="127"/>
      <c r="BC65" s="127"/>
      <c r="BD65" s="127"/>
      <c r="BE65" s="118"/>
      <c r="BF65" s="118"/>
      <c r="BG65" s="118"/>
      <c r="BH65" s="118"/>
      <c r="BI65" s="118"/>
      <c r="BJ65" s="118"/>
      <c r="BK65" s="118"/>
      <c r="BL65" s="118"/>
      <c r="BM65" s="117"/>
    </row>
    <row r="66" spans="1:65" s="111" customFormat="1" ht="11.25" x14ac:dyDescent="0.2">
      <c r="A66" s="243" t="s">
        <v>169</v>
      </c>
      <c r="B66" s="244"/>
      <c r="C66" s="248" t="s">
        <v>286</v>
      </c>
      <c r="D66" s="127"/>
      <c r="E66" s="64"/>
      <c r="F66" s="64"/>
      <c r="G66" s="64"/>
      <c r="H66" s="64"/>
      <c r="I66" s="64"/>
      <c r="J66" s="64"/>
      <c r="K66" s="64"/>
      <c r="L66" s="127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128"/>
      <c r="AB66" s="64"/>
      <c r="AC66" s="64"/>
      <c r="AD66" s="64"/>
      <c r="AE66" s="128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130"/>
      <c r="AR66" s="128"/>
      <c r="AS66" s="129"/>
      <c r="AT66" s="128"/>
      <c r="AU66" s="128"/>
      <c r="AV66" s="127"/>
      <c r="AW66" s="127"/>
      <c r="AX66" s="127"/>
      <c r="AY66" s="127"/>
      <c r="AZ66" s="127"/>
      <c r="BA66" s="127"/>
      <c r="BB66" s="127"/>
      <c r="BC66" s="127"/>
      <c r="BD66" s="127"/>
      <c r="BE66" s="118"/>
      <c r="BF66" s="118"/>
      <c r="BG66" s="118"/>
      <c r="BH66" s="118"/>
      <c r="BI66" s="118"/>
      <c r="BJ66" s="118"/>
      <c r="BK66" s="118"/>
      <c r="BL66" s="118"/>
      <c r="BM66" s="117"/>
    </row>
    <row r="67" spans="1:65" s="111" customFormat="1" ht="11.25" x14ac:dyDescent="0.2">
      <c r="A67" s="243" t="s">
        <v>168</v>
      </c>
      <c r="B67" s="244"/>
      <c r="C67" s="64" t="s">
        <v>287</v>
      </c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8"/>
      <c r="AB67" s="127"/>
      <c r="AC67" s="127"/>
      <c r="AD67" s="127"/>
      <c r="AE67" s="128"/>
      <c r="AF67" s="127"/>
      <c r="AG67" s="127"/>
      <c r="AH67" s="127"/>
      <c r="AI67" s="127"/>
      <c r="AJ67" s="127"/>
      <c r="AK67" s="127"/>
      <c r="AL67" s="127"/>
      <c r="AM67" s="127"/>
      <c r="AN67" s="127"/>
      <c r="AO67" s="127"/>
      <c r="AP67" s="127"/>
      <c r="AQ67" s="130"/>
      <c r="AR67" s="128"/>
      <c r="AS67" s="131"/>
      <c r="AT67" s="128"/>
      <c r="AU67" s="128"/>
      <c r="AV67" s="127"/>
      <c r="AW67" s="127"/>
      <c r="AX67" s="127"/>
      <c r="AY67" s="127"/>
      <c r="AZ67" s="127"/>
      <c r="BA67" s="127"/>
      <c r="BB67" s="127"/>
      <c r="BC67" s="127"/>
      <c r="BD67" s="127"/>
      <c r="BE67" s="118"/>
      <c r="BF67" s="118"/>
      <c r="BG67" s="118"/>
      <c r="BH67" s="118"/>
      <c r="BI67" s="118"/>
      <c r="BJ67" s="118"/>
      <c r="BK67" s="118"/>
      <c r="BL67" s="118"/>
      <c r="BM67" s="117"/>
    </row>
    <row r="68" spans="1:65" s="111" customFormat="1" ht="11.25" x14ac:dyDescent="0.2">
      <c r="A68" s="243" t="s">
        <v>167</v>
      </c>
      <c r="B68" s="244"/>
      <c r="C68" s="64" t="s">
        <v>289</v>
      </c>
      <c r="D68" s="127"/>
      <c r="E68" s="64"/>
      <c r="F68" s="64"/>
      <c r="G68" s="64"/>
      <c r="H68" s="64"/>
      <c r="I68" s="64"/>
      <c r="J68" s="64"/>
      <c r="K68" s="64"/>
      <c r="L68" s="127"/>
      <c r="M68" s="64"/>
      <c r="N68" s="249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128"/>
      <c r="AB68" s="64"/>
      <c r="AC68" s="64"/>
      <c r="AD68" s="64"/>
      <c r="AE68" s="128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130"/>
      <c r="AR68" s="128"/>
      <c r="AS68" s="132"/>
      <c r="AT68" s="128"/>
      <c r="AU68" s="128"/>
      <c r="AV68" s="127"/>
      <c r="AW68" s="127"/>
      <c r="AX68" s="127"/>
      <c r="AY68" s="127"/>
      <c r="AZ68" s="127"/>
      <c r="BA68" s="127"/>
      <c r="BB68" s="127"/>
      <c r="BC68" s="127"/>
      <c r="BD68" s="127"/>
      <c r="BE68" s="118"/>
      <c r="BF68" s="118"/>
      <c r="BG68" s="118"/>
      <c r="BH68" s="118"/>
      <c r="BI68" s="118"/>
      <c r="BJ68" s="118"/>
      <c r="BK68" s="118"/>
      <c r="BL68" s="118"/>
      <c r="BM68" s="117"/>
    </row>
    <row r="69" spans="1:65" s="111" customFormat="1" ht="12" thickBot="1" x14ac:dyDescent="0.25">
      <c r="A69" s="243"/>
      <c r="B69" s="244"/>
      <c r="C69" s="64"/>
      <c r="D69" s="139" t="s">
        <v>166</v>
      </c>
      <c r="E69" s="64"/>
      <c r="F69" s="64"/>
      <c r="G69" s="64"/>
      <c r="H69" s="64"/>
      <c r="I69" s="64"/>
      <c r="J69" s="64"/>
      <c r="K69" s="250" t="s">
        <v>165</v>
      </c>
      <c r="L69" s="127"/>
      <c r="M69" s="250"/>
      <c r="N69" s="64"/>
      <c r="O69" s="64"/>
      <c r="P69" s="64"/>
      <c r="Q69" s="64"/>
      <c r="R69" s="64"/>
      <c r="S69" s="64"/>
      <c r="T69" s="64"/>
      <c r="U69" s="64"/>
      <c r="V69" s="251" t="s">
        <v>291</v>
      </c>
      <c r="W69" s="64"/>
      <c r="X69" s="64"/>
      <c r="Y69" s="64"/>
      <c r="Z69" s="64"/>
      <c r="AA69" s="252"/>
      <c r="AB69" s="252"/>
      <c r="AC69" s="253"/>
      <c r="AD69" s="253"/>
      <c r="AE69" s="253"/>
      <c r="AF69" s="253"/>
      <c r="AG69" s="253"/>
      <c r="AH69" s="64"/>
      <c r="AI69" s="64"/>
      <c r="AJ69" s="64"/>
      <c r="AK69" s="128"/>
      <c r="AL69" s="64"/>
      <c r="AM69" s="64"/>
      <c r="AN69" s="64"/>
      <c r="AO69" s="64"/>
      <c r="AP69" s="64"/>
      <c r="AQ69" s="130"/>
      <c r="AR69" s="128"/>
      <c r="AS69" s="129"/>
      <c r="AT69" s="128"/>
      <c r="AU69" s="128"/>
      <c r="AV69" s="127"/>
      <c r="AW69" s="127"/>
      <c r="AX69" s="127"/>
      <c r="AY69" s="127"/>
      <c r="AZ69" s="127"/>
      <c r="BA69" s="127"/>
      <c r="BB69" s="127"/>
      <c r="BC69" s="127"/>
      <c r="BD69" s="127"/>
      <c r="BE69" s="118"/>
      <c r="BF69" s="118"/>
      <c r="BG69" s="118"/>
      <c r="BH69" s="118"/>
      <c r="BI69" s="118"/>
      <c r="BJ69" s="118"/>
      <c r="BK69" s="118"/>
      <c r="BL69" s="118"/>
      <c r="BM69" s="117"/>
    </row>
    <row r="70" spans="1:65" s="111" customFormat="1" ht="11.25" x14ac:dyDescent="0.2">
      <c r="A70" s="254"/>
      <c r="B70" s="255"/>
      <c r="C70" s="255"/>
      <c r="D70" s="256"/>
      <c r="E70" s="257"/>
      <c r="F70" s="258"/>
      <c r="G70" s="259" t="s">
        <v>164</v>
      </c>
      <c r="H70" s="138">
        <v>8.1120000000000001</v>
      </c>
      <c r="I70" s="260" t="s">
        <v>163</v>
      </c>
      <c r="J70" s="119"/>
      <c r="K70" s="485" t="s">
        <v>149</v>
      </c>
      <c r="L70" s="486"/>
      <c r="M70" s="486"/>
      <c r="N70" s="486"/>
      <c r="O70" s="486"/>
      <c r="P70" s="486"/>
      <c r="Q70" s="487"/>
      <c r="R70" s="251"/>
      <c r="S70" s="65"/>
      <c r="T70" s="119"/>
      <c r="U70" s="119"/>
      <c r="V70" s="216"/>
      <c r="W70" s="217"/>
      <c r="X70" s="218"/>
      <c r="Y70" s="217"/>
      <c r="Z70" s="217"/>
      <c r="AA70" s="219"/>
      <c r="AB70" s="219"/>
      <c r="AC70" s="219"/>
      <c r="AD70" s="219"/>
      <c r="AE70" s="219"/>
      <c r="AF70" s="219"/>
      <c r="AG70" s="219"/>
      <c r="AH70" s="220"/>
      <c r="AI70" s="220"/>
      <c r="AJ70" s="220"/>
      <c r="AK70" s="221"/>
      <c r="AL70" s="220"/>
      <c r="AM70" s="220"/>
      <c r="AN70" s="217"/>
      <c r="AO70" s="217"/>
      <c r="AP70" s="222"/>
      <c r="AQ70" s="261"/>
      <c r="AT70" s="135"/>
      <c r="AU70" s="135"/>
      <c r="AV70" s="134"/>
      <c r="AY70" s="118"/>
      <c r="BB70" s="118"/>
      <c r="BC70" s="118"/>
      <c r="BD70" s="118"/>
      <c r="BE70" s="118"/>
      <c r="BF70" s="118"/>
      <c r="BG70" s="118"/>
      <c r="BH70" s="118"/>
      <c r="BI70" s="118"/>
      <c r="BJ70" s="118"/>
      <c r="BK70" s="117"/>
    </row>
    <row r="71" spans="1:65" s="111" customFormat="1" ht="11.25" x14ac:dyDescent="0.2">
      <c r="A71" s="254"/>
      <c r="B71" s="255"/>
      <c r="C71" s="255"/>
      <c r="D71" s="262"/>
      <c r="E71" s="263"/>
      <c r="F71" s="264"/>
      <c r="G71" s="265" t="s">
        <v>162</v>
      </c>
      <c r="H71" s="137">
        <v>70</v>
      </c>
      <c r="I71" s="266" t="s">
        <v>161</v>
      </c>
      <c r="J71" s="119"/>
      <c r="K71" s="267" t="s">
        <v>160</v>
      </c>
      <c r="L71" s="268"/>
      <c r="M71" s="269" t="s">
        <v>159</v>
      </c>
      <c r="N71" s="270"/>
      <c r="O71" s="271" t="s">
        <v>158</v>
      </c>
      <c r="P71" s="271" t="s">
        <v>157</v>
      </c>
      <c r="Q71" s="272" t="s">
        <v>156</v>
      </c>
      <c r="R71" s="273"/>
      <c r="S71" s="65"/>
      <c r="T71" s="119"/>
      <c r="U71" s="119"/>
      <c r="V71" s="223"/>
      <c r="W71" s="224"/>
      <c r="X71" s="225"/>
      <c r="Y71" s="224"/>
      <c r="Z71" s="224"/>
      <c r="AA71" s="224"/>
      <c r="AB71" s="224"/>
      <c r="AC71" s="224"/>
      <c r="AD71" s="224"/>
      <c r="AE71" s="226"/>
      <c r="AF71" s="226"/>
      <c r="AG71" s="227"/>
      <c r="AH71" s="228"/>
      <c r="AI71" s="228"/>
      <c r="AJ71" s="228"/>
      <c r="AK71" s="224"/>
      <c r="AL71" s="228"/>
      <c r="AM71" s="228"/>
      <c r="AN71" s="224"/>
      <c r="AO71" s="224"/>
      <c r="AP71" s="229"/>
      <c r="AQ71" s="261"/>
      <c r="AT71" s="135"/>
      <c r="AU71" s="135"/>
      <c r="AV71" s="134"/>
      <c r="AY71" s="118"/>
      <c r="BB71" s="118"/>
      <c r="BC71" s="118"/>
      <c r="BD71" s="118"/>
      <c r="BE71" s="118"/>
      <c r="BF71" s="118"/>
      <c r="BG71" s="118"/>
      <c r="BH71" s="118"/>
      <c r="BI71" s="118"/>
      <c r="BJ71" s="118"/>
      <c r="BK71" s="117"/>
    </row>
    <row r="72" spans="1:65" s="111" customFormat="1" ht="11.25" x14ac:dyDescent="0.2">
      <c r="A72" s="254"/>
      <c r="B72" s="255"/>
      <c r="C72" s="255"/>
      <c r="D72" s="262"/>
      <c r="E72" s="263"/>
      <c r="F72" s="264"/>
      <c r="G72" s="265" t="s">
        <v>155</v>
      </c>
      <c r="H72" s="137">
        <v>0.3</v>
      </c>
      <c r="I72" s="274" t="s">
        <v>99</v>
      </c>
      <c r="J72" s="119"/>
      <c r="K72" s="488" t="s">
        <v>148</v>
      </c>
      <c r="L72" s="489"/>
      <c r="M72" s="490" t="s">
        <v>154</v>
      </c>
      <c r="N72" s="489"/>
      <c r="O72" s="275">
        <v>0.56000000000000005</v>
      </c>
      <c r="P72" s="275">
        <v>3.51</v>
      </c>
      <c r="Q72" s="276">
        <v>9.82</v>
      </c>
      <c r="R72" s="273"/>
      <c r="S72" s="65"/>
      <c r="T72" s="119"/>
      <c r="U72" s="119"/>
      <c r="V72" s="223"/>
      <c r="W72" s="224"/>
      <c r="X72" s="225"/>
      <c r="Y72" s="224"/>
      <c r="Z72" s="224"/>
      <c r="AA72" s="230"/>
      <c r="AB72" s="230"/>
      <c r="AC72" s="230"/>
      <c r="AD72" s="230"/>
      <c r="AE72" s="227"/>
      <c r="AF72" s="227"/>
      <c r="AG72" s="227"/>
      <c r="AH72" s="228"/>
      <c r="AI72" s="228"/>
      <c r="AJ72" s="228"/>
      <c r="AK72" s="224"/>
      <c r="AL72" s="228"/>
      <c r="AM72" s="228"/>
      <c r="AN72" s="224"/>
      <c r="AO72" s="224"/>
      <c r="AP72" s="229"/>
      <c r="AQ72" s="261"/>
      <c r="AT72" s="135"/>
      <c r="AU72" s="135"/>
      <c r="AV72" s="134"/>
      <c r="AY72" s="118"/>
      <c r="BB72" s="118"/>
      <c r="BC72" s="118"/>
      <c r="BD72" s="118"/>
      <c r="BE72" s="118"/>
      <c r="BF72" s="118"/>
      <c r="BG72" s="118"/>
      <c r="BH72" s="118"/>
      <c r="BI72" s="118"/>
      <c r="BJ72" s="118"/>
      <c r="BK72" s="117"/>
    </row>
    <row r="73" spans="1:65" s="111" customFormat="1" ht="11.25" x14ac:dyDescent="0.2">
      <c r="A73" s="254"/>
      <c r="B73" s="255"/>
      <c r="C73" s="255"/>
      <c r="D73" s="262"/>
      <c r="E73" s="263"/>
      <c r="F73" s="264"/>
      <c r="G73" s="265" t="s">
        <v>153</v>
      </c>
      <c r="H73" s="137">
        <v>1.1000000000000001</v>
      </c>
      <c r="I73" s="274" t="s">
        <v>99</v>
      </c>
      <c r="J73" s="119"/>
      <c r="K73" s="478" t="s">
        <v>150</v>
      </c>
      <c r="L73" s="479"/>
      <c r="M73" s="491" t="s">
        <v>150</v>
      </c>
      <c r="N73" s="479"/>
      <c r="O73" s="176">
        <v>1.57</v>
      </c>
      <c r="P73" s="176">
        <v>6.28</v>
      </c>
      <c r="Q73" s="277">
        <v>14.414</v>
      </c>
      <c r="R73" s="273"/>
      <c r="S73" s="65"/>
      <c r="T73" s="119"/>
      <c r="U73" s="119"/>
      <c r="V73" s="223"/>
      <c r="W73" s="224"/>
      <c r="X73" s="225"/>
      <c r="Y73" s="224"/>
      <c r="Z73" s="224"/>
      <c r="AA73" s="230"/>
      <c r="AB73" s="230"/>
      <c r="AC73" s="230"/>
      <c r="AD73" s="230"/>
      <c r="AE73" s="227"/>
      <c r="AF73" s="227"/>
      <c r="AG73" s="227"/>
      <c r="AH73" s="228"/>
      <c r="AI73" s="228"/>
      <c r="AJ73" s="228"/>
      <c r="AK73" s="224"/>
      <c r="AL73" s="228"/>
      <c r="AM73" s="228"/>
      <c r="AN73" s="224"/>
      <c r="AO73" s="224"/>
      <c r="AP73" s="229"/>
      <c r="AQ73" s="261"/>
      <c r="AT73" s="135"/>
      <c r="AU73" s="135"/>
      <c r="AV73" s="134"/>
      <c r="AY73" s="118"/>
      <c r="BB73" s="118"/>
      <c r="BC73" s="118"/>
      <c r="BD73" s="118"/>
      <c r="BE73" s="118"/>
      <c r="BF73" s="118"/>
      <c r="BG73" s="118"/>
      <c r="BH73" s="118"/>
      <c r="BI73" s="118"/>
      <c r="BJ73" s="118"/>
      <c r="BK73" s="117"/>
    </row>
    <row r="74" spans="1:65" s="111" customFormat="1" ht="11.25" x14ac:dyDescent="0.2">
      <c r="A74" s="278"/>
      <c r="B74" s="64"/>
      <c r="C74" s="64"/>
      <c r="D74" s="262"/>
      <c r="E74" s="263"/>
      <c r="F74" s="263"/>
      <c r="G74" s="265" t="s">
        <v>152</v>
      </c>
      <c r="H74" s="136">
        <v>30</v>
      </c>
      <c r="I74" s="279" t="s">
        <v>151</v>
      </c>
      <c r="J74" s="280"/>
      <c r="K74" s="478" t="s">
        <v>148</v>
      </c>
      <c r="L74" s="479"/>
      <c r="M74" s="480" t="s">
        <v>150</v>
      </c>
      <c r="N74" s="481"/>
      <c r="O74" s="281">
        <v>2.4500000000000002</v>
      </c>
      <c r="P74" s="281">
        <v>7.95</v>
      </c>
      <c r="Q74" s="282">
        <v>16.59</v>
      </c>
      <c r="R74" s="283"/>
      <c r="S74" s="65"/>
      <c r="T74" s="119"/>
      <c r="U74" s="119"/>
      <c r="V74" s="223"/>
      <c r="W74" s="224"/>
      <c r="X74" s="225"/>
      <c r="Y74" s="224"/>
      <c r="Z74" s="224"/>
      <c r="AA74" s="230"/>
      <c r="AB74" s="230"/>
      <c r="AC74" s="294"/>
      <c r="AD74" s="294"/>
      <c r="AE74" s="295"/>
      <c r="AF74" s="295"/>
      <c r="AG74" s="295"/>
      <c r="AH74" s="228"/>
      <c r="AI74" s="228"/>
      <c r="AJ74" s="228"/>
      <c r="AK74" s="294"/>
      <c r="AL74" s="228"/>
      <c r="AM74" s="228"/>
      <c r="AN74" s="224"/>
      <c r="AO74" s="224"/>
      <c r="AP74" s="229"/>
      <c r="AQ74" s="261"/>
      <c r="AT74" s="135"/>
      <c r="AU74" s="135"/>
      <c r="AV74" s="134"/>
      <c r="AY74" s="118"/>
      <c r="BB74" s="118"/>
      <c r="BC74" s="118"/>
      <c r="BD74" s="118"/>
      <c r="BE74" s="118"/>
      <c r="BF74" s="118"/>
      <c r="BG74" s="118"/>
      <c r="BH74" s="118"/>
      <c r="BI74" s="118"/>
      <c r="BJ74" s="118"/>
      <c r="BK74" s="117"/>
    </row>
    <row r="75" spans="1:65" s="111" customFormat="1" ht="12" thickBot="1" x14ac:dyDescent="0.25">
      <c r="A75" s="243"/>
      <c r="B75" s="244"/>
      <c r="C75" s="127"/>
      <c r="D75" s="133"/>
      <c r="E75" s="284"/>
      <c r="F75" s="284"/>
      <c r="G75" s="285" t="s">
        <v>149</v>
      </c>
      <c r="H75" s="293">
        <v>2.4500000000000002</v>
      </c>
      <c r="I75" s="286" t="s">
        <v>99</v>
      </c>
      <c r="J75" s="127"/>
      <c r="K75" s="482" t="s">
        <v>148</v>
      </c>
      <c r="L75" s="483"/>
      <c r="M75" s="484" t="s">
        <v>148</v>
      </c>
      <c r="N75" s="483"/>
      <c r="O75" s="287">
        <v>3.56</v>
      </c>
      <c r="P75" s="287">
        <v>9.82</v>
      </c>
      <c r="Q75" s="288">
        <v>19.239999999999998</v>
      </c>
      <c r="R75" s="273"/>
      <c r="S75" s="127"/>
      <c r="T75" s="127"/>
      <c r="U75" s="127"/>
      <c r="V75" s="296"/>
      <c r="W75" s="224"/>
      <c r="X75" s="294"/>
      <c r="Y75" s="294"/>
      <c r="Z75" s="294"/>
      <c r="AA75" s="230"/>
      <c r="AB75" s="230"/>
      <c r="AC75" s="230"/>
      <c r="AD75" s="230"/>
      <c r="AE75" s="227"/>
      <c r="AF75" s="227"/>
      <c r="AG75" s="227"/>
      <c r="AH75" s="294"/>
      <c r="AI75" s="294"/>
      <c r="AJ75" s="294"/>
      <c r="AK75" s="224"/>
      <c r="AL75" s="294"/>
      <c r="AM75" s="294"/>
      <c r="AN75" s="294"/>
      <c r="AO75" s="294"/>
      <c r="AP75" s="297"/>
      <c r="AQ75" s="130"/>
      <c r="AR75" s="128"/>
      <c r="AS75" s="128"/>
      <c r="AT75" s="127"/>
      <c r="AU75" s="127"/>
      <c r="AV75" s="127"/>
      <c r="AW75" s="127"/>
      <c r="AX75" s="127"/>
      <c r="AY75" s="127"/>
      <c r="AZ75" s="127"/>
      <c r="BA75" s="127"/>
      <c r="BB75" s="127"/>
      <c r="BC75" s="118"/>
      <c r="BD75" s="118"/>
      <c r="BE75" s="118"/>
      <c r="BF75" s="118"/>
      <c r="BG75" s="118"/>
      <c r="BH75" s="118"/>
      <c r="BI75" s="118"/>
      <c r="BJ75" s="118"/>
      <c r="BK75" s="117"/>
    </row>
    <row r="76" spans="1:65" s="111" customFormat="1" ht="11.25" x14ac:dyDescent="0.2">
      <c r="A76" s="243"/>
      <c r="B76" s="244"/>
      <c r="C76" s="64"/>
      <c r="D76" s="127"/>
      <c r="E76" s="289"/>
      <c r="F76" s="290"/>
      <c r="G76" s="127"/>
      <c r="H76" s="127"/>
      <c r="I76" s="127"/>
      <c r="J76" s="127"/>
      <c r="K76" s="127"/>
      <c r="L76" s="127"/>
      <c r="M76" s="127"/>
      <c r="N76" s="246"/>
      <c r="O76" s="247"/>
      <c r="P76" s="127"/>
      <c r="Q76" s="127"/>
      <c r="R76" s="127"/>
      <c r="S76" s="127"/>
      <c r="T76" s="127"/>
      <c r="U76" s="127"/>
      <c r="V76" s="296"/>
      <c r="W76" s="294"/>
      <c r="X76" s="294"/>
      <c r="Y76" s="294"/>
      <c r="Z76" s="294"/>
      <c r="AA76" s="298"/>
      <c r="AB76" s="294"/>
      <c r="AC76" s="294"/>
      <c r="AD76" s="294"/>
      <c r="AE76" s="294"/>
      <c r="AF76" s="294"/>
      <c r="AG76" s="294"/>
      <c r="AH76" s="294"/>
      <c r="AI76" s="294"/>
      <c r="AJ76" s="294"/>
      <c r="AK76" s="298"/>
      <c r="AL76" s="294"/>
      <c r="AM76" s="294"/>
      <c r="AN76" s="294"/>
      <c r="AO76" s="294"/>
      <c r="AP76" s="297"/>
      <c r="AQ76" s="130"/>
      <c r="AR76" s="128"/>
      <c r="AS76" s="131"/>
      <c r="AT76" s="128"/>
      <c r="AU76" s="128"/>
      <c r="AV76" s="127"/>
      <c r="AW76" s="127"/>
      <c r="AX76" s="127"/>
      <c r="AY76" s="127"/>
      <c r="AZ76" s="127"/>
      <c r="BA76" s="127"/>
      <c r="BB76" s="127"/>
      <c r="BC76" s="127"/>
      <c r="BD76" s="127"/>
      <c r="BE76" s="118"/>
      <c r="BF76" s="118"/>
      <c r="BG76" s="118"/>
      <c r="BH76" s="118"/>
      <c r="BI76" s="118"/>
      <c r="BJ76" s="118"/>
      <c r="BK76" s="118"/>
      <c r="BL76" s="118"/>
      <c r="BM76" s="117"/>
    </row>
    <row r="77" spans="1:65" s="111" customFormat="1" ht="11.25" x14ac:dyDescent="0.2">
      <c r="A77" s="243" t="s">
        <v>147</v>
      </c>
      <c r="B77" s="244"/>
      <c r="C77" s="64" t="s">
        <v>288</v>
      </c>
      <c r="D77" s="127"/>
      <c r="E77" s="64"/>
      <c r="F77" s="64"/>
      <c r="G77" s="64"/>
      <c r="H77" s="64"/>
      <c r="I77" s="64"/>
      <c r="J77" s="64"/>
      <c r="K77" s="64"/>
      <c r="L77" s="127"/>
      <c r="M77" s="64"/>
      <c r="N77" s="249"/>
      <c r="O77" s="64"/>
      <c r="P77" s="64"/>
      <c r="Q77" s="64"/>
      <c r="R77" s="64"/>
      <c r="S77" s="64"/>
      <c r="T77" s="64"/>
      <c r="U77" s="64"/>
      <c r="V77" s="299"/>
      <c r="W77" s="224"/>
      <c r="X77" s="224"/>
      <c r="Y77" s="224"/>
      <c r="Z77" s="224"/>
      <c r="AA77" s="298"/>
      <c r="AB77" s="224"/>
      <c r="AC77" s="224"/>
      <c r="AD77" s="224"/>
      <c r="AE77" s="298"/>
      <c r="AF77" s="224"/>
      <c r="AG77" s="224"/>
      <c r="AH77" s="224"/>
      <c r="AI77" s="224"/>
      <c r="AJ77" s="224"/>
      <c r="AK77" s="224"/>
      <c r="AL77" s="224"/>
      <c r="AM77" s="224"/>
      <c r="AN77" s="224"/>
      <c r="AO77" s="224"/>
      <c r="AP77" s="229"/>
      <c r="AQ77" s="130"/>
      <c r="AR77" s="128"/>
      <c r="AS77" s="132"/>
      <c r="AT77" s="128"/>
      <c r="AU77" s="128"/>
      <c r="AV77" s="127"/>
      <c r="AW77" s="127"/>
      <c r="AX77" s="127"/>
      <c r="AY77" s="127"/>
      <c r="AZ77" s="127"/>
      <c r="BA77" s="127"/>
      <c r="BB77" s="127"/>
      <c r="BC77" s="127"/>
      <c r="BD77" s="127"/>
      <c r="BE77" s="118"/>
      <c r="BF77" s="118"/>
      <c r="BG77" s="118"/>
      <c r="BH77" s="118"/>
      <c r="BI77" s="118"/>
      <c r="BJ77" s="118"/>
      <c r="BK77" s="118"/>
      <c r="BL77" s="118"/>
      <c r="BM77" s="117"/>
    </row>
    <row r="78" spans="1:65" s="111" customFormat="1" ht="11.25" x14ac:dyDescent="0.2">
      <c r="A78" s="243"/>
      <c r="B78" s="244"/>
      <c r="C78" s="64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127"/>
      <c r="V78" s="296"/>
      <c r="W78" s="294"/>
      <c r="X78" s="294"/>
      <c r="Y78" s="294"/>
      <c r="Z78" s="294"/>
      <c r="AA78" s="298"/>
      <c r="AB78" s="294"/>
      <c r="AC78" s="294"/>
      <c r="AD78" s="294"/>
      <c r="AE78" s="298"/>
      <c r="AF78" s="294"/>
      <c r="AG78" s="294"/>
      <c r="AH78" s="294"/>
      <c r="AI78" s="294"/>
      <c r="AJ78" s="294"/>
      <c r="AK78" s="294"/>
      <c r="AL78" s="294"/>
      <c r="AM78" s="294"/>
      <c r="AN78" s="294"/>
      <c r="AO78" s="294"/>
      <c r="AP78" s="297"/>
      <c r="AQ78" s="130"/>
      <c r="AR78" s="128"/>
      <c r="AS78" s="131"/>
      <c r="AT78" s="128"/>
      <c r="AU78" s="128"/>
      <c r="AV78" s="127"/>
      <c r="AW78" s="127"/>
      <c r="AX78" s="127"/>
      <c r="AY78" s="127"/>
      <c r="AZ78" s="127"/>
      <c r="BA78" s="127"/>
      <c r="BB78" s="127"/>
      <c r="BC78" s="127"/>
      <c r="BD78" s="127"/>
      <c r="BE78" s="118"/>
      <c r="BF78" s="118"/>
      <c r="BG78" s="118"/>
      <c r="BH78" s="118"/>
      <c r="BI78" s="118"/>
      <c r="BJ78" s="118"/>
      <c r="BK78" s="118"/>
      <c r="BL78" s="118"/>
      <c r="BM78" s="117"/>
    </row>
    <row r="79" spans="1:65" s="111" customFormat="1" ht="11.25" x14ac:dyDescent="0.2">
      <c r="A79" s="243"/>
      <c r="B79" s="244"/>
      <c r="C79" s="64"/>
      <c r="D79" s="127"/>
      <c r="E79" s="64"/>
      <c r="F79" s="64"/>
      <c r="G79" s="64"/>
      <c r="H79" s="64"/>
      <c r="I79" s="64"/>
      <c r="J79" s="64"/>
      <c r="K79" s="64"/>
      <c r="L79" s="127"/>
      <c r="M79" s="64"/>
      <c r="N79" s="64"/>
      <c r="O79" s="64"/>
      <c r="P79" s="64"/>
      <c r="Q79" s="64"/>
      <c r="R79" s="64"/>
      <c r="S79" s="64"/>
      <c r="T79" s="64"/>
      <c r="U79" s="64"/>
      <c r="V79" s="299"/>
      <c r="W79" s="224"/>
      <c r="X79" s="224"/>
      <c r="Y79" s="224"/>
      <c r="Z79" s="224"/>
      <c r="AA79" s="298"/>
      <c r="AB79" s="224"/>
      <c r="AC79" s="224"/>
      <c r="AD79" s="224"/>
      <c r="AE79" s="298"/>
      <c r="AF79" s="224"/>
      <c r="AG79" s="224"/>
      <c r="AH79" s="224"/>
      <c r="AI79" s="224"/>
      <c r="AJ79" s="224"/>
      <c r="AK79" s="224"/>
      <c r="AL79" s="224"/>
      <c r="AM79" s="224"/>
      <c r="AN79" s="224"/>
      <c r="AO79" s="224"/>
      <c r="AP79" s="229"/>
      <c r="AQ79" s="130"/>
      <c r="AR79" s="128"/>
      <c r="AS79" s="129"/>
      <c r="AT79" s="128"/>
      <c r="AU79" s="128"/>
      <c r="AV79" s="127"/>
      <c r="AW79" s="127"/>
      <c r="AX79" s="127"/>
      <c r="AY79" s="127"/>
      <c r="AZ79" s="127"/>
      <c r="BA79" s="127"/>
      <c r="BB79" s="127"/>
      <c r="BC79" s="127"/>
      <c r="BD79" s="127"/>
      <c r="BE79" s="118"/>
      <c r="BF79" s="118"/>
      <c r="BG79" s="118"/>
      <c r="BH79" s="118"/>
      <c r="BI79" s="118"/>
      <c r="BJ79" s="118"/>
      <c r="BK79" s="118"/>
      <c r="BL79" s="118"/>
      <c r="BM79" s="117"/>
    </row>
    <row r="80" spans="1:65" s="111" customFormat="1" ht="11.25" x14ac:dyDescent="0.2">
      <c r="A80" s="243"/>
      <c r="B80" s="244"/>
      <c r="C80" s="64"/>
      <c r="D80" s="127"/>
      <c r="E80" s="64"/>
      <c r="F80" s="64"/>
      <c r="G80" s="64"/>
      <c r="H80" s="64"/>
      <c r="I80" s="64"/>
      <c r="J80" s="64"/>
      <c r="K80" s="64"/>
      <c r="L80" s="127"/>
      <c r="M80" s="64"/>
      <c r="N80" s="64"/>
      <c r="O80" s="64"/>
      <c r="P80" s="64"/>
      <c r="Q80" s="64"/>
      <c r="R80" s="64"/>
      <c r="S80" s="64"/>
      <c r="T80" s="64"/>
      <c r="U80" s="64"/>
      <c r="V80" s="300"/>
      <c r="W80" s="301"/>
      <c r="X80" s="301"/>
      <c r="Y80" s="301"/>
      <c r="Z80" s="301"/>
      <c r="AA80" s="302"/>
      <c r="AB80" s="301"/>
      <c r="AC80" s="301"/>
      <c r="AD80" s="301"/>
      <c r="AE80" s="302"/>
      <c r="AF80" s="301"/>
      <c r="AG80" s="301"/>
      <c r="AH80" s="301"/>
      <c r="AI80" s="301"/>
      <c r="AJ80" s="301"/>
      <c r="AK80" s="301"/>
      <c r="AL80" s="301"/>
      <c r="AM80" s="301"/>
      <c r="AN80" s="301"/>
      <c r="AO80" s="301"/>
      <c r="AP80" s="303"/>
      <c r="AQ80" s="130"/>
      <c r="AR80" s="128"/>
      <c r="AS80" s="129"/>
      <c r="AT80" s="128"/>
      <c r="AU80" s="128"/>
      <c r="AV80" s="127"/>
      <c r="AW80" s="127"/>
      <c r="AX80" s="127"/>
      <c r="AY80" s="127"/>
      <c r="AZ80" s="127"/>
      <c r="BA80" s="127"/>
      <c r="BB80" s="127"/>
      <c r="BC80" s="127"/>
      <c r="BD80" s="127"/>
      <c r="BE80" s="118"/>
      <c r="BF80" s="118"/>
      <c r="BG80" s="118"/>
      <c r="BH80" s="118"/>
      <c r="BI80" s="118"/>
      <c r="BJ80" s="118"/>
      <c r="BK80" s="118"/>
      <c r="BL80" s="118"/>
      <c r="BM80" s="117"/>
    </row>
    <row r="81" spans="1:84" s="111" customFormat="1" ht="12" thickBot="1" x14ac:dyDescent="0.25">
      <c r="A81" s="291"/>
      <c r="B81" s="292"/>
      <c r="C81" s="123"/>
      <c r="D81" s="123"/>
      <c r="E81" s="123"/>
      <c r="F81" s="126"/>
      <c r="G81" s="126"/>
      <c r="H81" s="125"/>
      <c r="I81" s="123"/>
      <c r="J81" s="123"/>
      <c r="K81" s="123"/>
      <c r="L81" s="123"/>
      <c r="M81" s="123"/>
      <c r="N81" s="123"/>
      <c r="O81" s="123"/>
      <c r="P81" s="123"/>
      <c r="Q81" s="123"/>
      <c r="R81" s="125"/>
      <c r="S81" s="125"/>
      <c r="T81" s="124"/>
      <c r="U81" s="124"/>
      <c r="V81" s="125"/>
      <c r="W81" s="125"/>
      <c r="X81" s="125"/>
      <c r="Y81" s="125"/>
      <c r="Z81" s="123"/>
      <c r="AA81" s="123"/>
      <c r="AB81" s="123"/>
      <c r="AC81" s="123"/>
      <c r="AD81" s="123"/>
      <c r="AE81" s="123"/>
      <c r="AF81" s="123"/>
      <c r="AG81" s="123"/>
      <c r="AH81" s="124"/>
      <c r="AI81" s="124"/>
      <c r="AJ81" s="124"/>
      <c r="AK81" s="124"/>
      <c r="AL81" s="124"/>
      <c r="AM81" s="124"/>
      <c r="AN81" s="123"/>
      <c r="AO81" s="123"/>
      <c r="AP81" s="123"/>
      <c r="AQ81" s="122"/>
      <c r="AR81" s="64"/>
      <c r="AS81" s="64"/>
      <c r="AT81" s="64"/>
      <c r="AU81" s="64"/>
      <c r="AV81" s="121"/>
      <c r="AW81" s="121"/>
      <c r="AX81" s="120"/>
      <c r="AY81" s="64"/>
      <c r="AZ81" s="64"/>
      <c r="BA81" s="119"/>
      <c r="BB81" s="64"/>
      <c r="BC81" s="64"/>
      <c r="BD81" s="119"/>
      <c r="BE81" s="118"/>
      <c r="BF81" s="118"/>
      <c r="BG81" s="118"/>
      <c r="BH81" s="118"/>
      <c r="BI81" s="118"/>
      <c r="BJ81" s="118"/>
      <c r="BK81" s="118"/>
      <c r="BL81" s="118"/>
      <c r="BM81" s="117"/>
    </row>
    <row r="82" spans="1:84" x14ac:dyDescent="0.25">
      <c r="A82" s="3"/>
      <c r="B82" s="3"/>
      <c r="C82" s="31"/>
      <c r="D82" s="3"/>
      <c r="E82" s="3"/>
      <c r="F82" s="116"/>
      <c r="G82" s="116"/>
      <c r="H82" s="113"/>
      <c r="I82" s="3"/>
      <c r="J82" s="3"/>
      <c r="K82" s="3"/>
      <c r="L82" s="3"/>
      <c r="M82" s="3"/>
      <c r="N82" s="3"/>
      <c r="O82" s="3"/>
      <c r="P82" s="3"/>
      <c r="Q82" s="3"/>
      <c r="R82" s="113"/>
      <c r="S82" s="113"/>
      <c r="T82" s="63"/>
      <c r="U82" s="63"/>
      <c r="V82" s="113"/>
      <c r="W82" s="113"/>
      <c r="X82" s="113"/>
      <c r="Y82" s="113"/>
      <c r="Z82" s="3"/>
      <c r="AA82" s="64"/>
      <c r="AB82" s="3"/>
      <c r="AC82" s="3"/>
      <c r="AD82" s="3"/>
      <c r="AE82" s="64"/>
      <c r="AF82" s="3"/>
      <c r="AG82" s="3"/>
      <c r="AH82" s="63"/>
      <c r="AI82" s="63"/>
      <c r="AJ82" s="63"/>
      <c r="AK82" s="63"/>
      <c r="AL82" s="63"/>
      <c r="AM82" s="63"/>
      <c r="AN82" s="3"/>
      <c r="AO82" s="3"/>
      <c r="AP82" s="3"/>
      <c r="AQ82" s="3"/>
      <c r="AR82" s="64"/>
      <c r="AS82" s="3"/>
      <c r="AT82" s="31"/>
      <c r="AU82" s="3"/>
      <c r="AV82" s="115"/>
      <c r="AW82" s="115"/>
      <c r="AX82" s="114"/>
      <c r="AY82" s="3"/>
      <c r="AZ82" s="3"/>
      <c r="BA82" s="113"/>
      <c r="BB82" s="3"/>
      <c r="BC82" s="3"/>
      <c r="BD82" s="113"/>
      <c r="BR82" s="102"/>
      <c r="BS82" s="102"/>
      <c r="BT82" s="102"/>
      <c r="BU82" s="102"/>
      <c r="BV82" s="102"/>
      <c r="BW82" s="102"/>
      <c r="BX82" s="102"/>
      <c r="BY82" s="102"/>
      <c r="BZ82" s="102"/>
      <c r="CA82" s="102"/>
      <c r="CB82" s="102"/>
      <c r="CC82" s="102"/>
      <c r="CD82" s="102"/>
      <c r="CE82" s="102"/>
      <c r="CF82" s="102"/>
    </row>
    <row r="83" spans="1:84" x14ac:dyDescent="0.25">
      <c r="BR83" s="102"/>
      <c r="BS83" s="102"/>
      <c r="BT83" s="102"/>
      <c r="BU83" s="102"/>
      <c r="BV83" s="102"/>
      <c r="BW83" s="102"/>
      <c r="BX83" s="102"/>
      <c r="BY83" s="102"/>
      <c r="BZ83" s="102"/>
      <c r="CA83" s="102"/>
      <c r="CB83" s="102"/>
      <c r="CC83" s="102"/>
      <c r="CD83" s="102"/>
      <c r="CE83" s="102"/>
      <c r="CF83" s="102"/>
    </row>
    <row r="84" spans="1:84" x14ac:dyDescent="0.25">
      <c r="BR84" s="102"/>
      <c r="BS84" s="102"/>
      <c r="BT84" s="102"/>
      <c r="BU84" s="102"/>
      <c r="BV84" s="102"/>
      <c r="BW84" s="102"/>
      <c r="BX84" s="102"/>
      <c r="BY84" s="102"/>
      <c r="BZ84" s="102"/>
      <c r="CA84" s="102"/>
      <c r="CB84" s="102"/>
      <c r="CC84" s="102"/>
      <c r="CD84" s="102"/>
      <c r="CE84" s="102"/>
      <c r="CF84" s="102"/>
    </row>
    <row r="85" spans="1:84" x14ac:dyDescent="0.25"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</row>
    <row r="86" spans="1:84" x14ac:dyDescent="0.25"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</row>
    <row r="87" spans="1:84" x14ac:dyDescent="0.25"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</row>
    <row r="88" spans="1:84" x14ac:dyDescent="0.25"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</row>
    <row r="89" spans="1:84" x14ac:dyDescent="0.25"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</row>
    <row r="90" spans="1:84" x14ac:dyDescent="0.25">
      <c r="BR90" s="102"/>
      <c r="BS90" s="102"/>
      <c r="BT90" s="102"/>
      <c r="BU90" s="102"/>
      <c r="BV90" s="102"/>
      <c r="BW90" s="102"/>
      <c r="BX90" s="102"/>
      <c r="BY90" s="102"/>
      <c r="BZ90" s="102"/>
      <c r="CA90" s="102"/>
      <c r="CB90" s="102"/>
      <c r="CC90" s="102"/>
      <c r="CD90" s="102"/>
      <c r="CE90" s="102"/>
      <c r="CF90" s="102"/>
    </row>
    <row r="91" spans="1:84" x14ac:dyDescent="0.25">
      <c r="BR91" s="102"/>
      <c r="BS91" s="102"/>
      <c r="BT91" s="102"/>
      <c r="BU91" s="102"/>
      <c r="BV91" s="102"/>
      <c r="BW91" s="102"/>
      <c r="BX91" s="102"/>
      <c r="BY91" s="102"/>
      <c r="BZ91" s="102"/>
      <c r="CA91" s="102"/>
      <c r="CB91" s="102"/>
      <c r="CC91" s="102"/>
      <c r="CD91" s="102"/>
      <c r="CE91" s="102"/>
      <c r="CF91" s="102"/>
    </row>
    <row r="92" spans="1:84" x14ac:dyDescent="0.25">
      <c r="BR92" s="102"/>
      <c r="BS92" s="102"/>
      <c r="BT92" s="102"/>
      <c r="BU92" s="102"/>
      <c r="BV92" s="102"/>
      <c r="BW92" s="102"/>
      <c r="BX92" s="102"/>
      <c r="BY92" s="102"/>
      <c r="BZ92" s="102"/>
      <c r="CA92" s="102"/>
      <c r="CB92" s="102"/>
      <c r="CC92" s="102"/>
      <c r="CD92" s="102"/>
      <c r="CE92" s="102"/>
      <c r="CF92" s="102"/>
    </row>
    <row r="93" spans="1:84" x14ac:dyDescent="0.25">
      <c r="BR93" s="102"/>
      <c r="BS93" s="102"/>
      <c r="BT93" s="102"/>
      <c r="BU93" s="102"/>
      <c r="BV93" s="102"/>
      <c r="BW93" s="102"/>
      <c r="BX93" s="102"/>
      <c r="BY93" s="102"/>
      <c r="BZ93" s="102"/>
      <c r="CA93" s="102"/>
      <c r="CB93" s="102"/>
      <c r="CC93" s="102"/>
      <c r="CD93" s="102"/>
      <c r="CE93" s="102"/>
      <c r="CF93" s="102"/>
    </row>
    <row r="94" spans="1:84" x14ac:dyDescent="0.25">
      <c r="BR94" s="102"/>
      <c r="BS94" s="102"/>
      <c r="BT94" s="102"/>
      <c r="BU94" s="102"/>
      <c r="BV94" s="102"/>
      <c r="BW94" s="102"/>
      <c r="BX94" s="102"/>
      <c r="BY94" s="102"/>
      <c r="BZ94" s="102"/>
      <c r="CA94" s="102"/>
      <c r="CB94" s="102"/>
      <c r="CC94" s="102"/>
      <c r="CD94" s="102"/>
      <c r="CE94" s="102"/>
      <c r="CF94" s="102"/>
    </row>
    <row r="95" spans="1:84" x14ac:dyDescent="0.25"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</row>
    <row r="96" spans="1:84" x14ac:dyDescent="0.25">
      <c r="BR96" s="102"/>
      <c r="BS96" s="102"/>
      <c r="BT96" s="102"/>
      <c r="BU96" s="102"/>
      <c r="BV96" s="102"/>
      <c r="BW96" s="102"/>
      <c r="BX96" s="102"/>
      <c r="BY96" s="102"/>
      <c r="BZ96" s="102"/>
      <c r="CA96" s="102"/>
      <c r="CB96" s="102"/>
      <c r="CC96" s="102"/>
      <c r="CD96" s="102"/>
      <c r="CE96" s="102"/>
      <c r="CF96" s="102"/>
    </row>
    <row r="97" spans="70:84" x14ac:dyDescent="0.25"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</row>
    <row r="98" spans="70:84" x14ac:dyDescent="0.25"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</row>
    <row r="99" spans="70:84" x14ac:dyDescent="0.25"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</row>
    <row r="100" spans="70:84" x14ac:dyDescent="0.25"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</row>
    <row r="101" spans="70:84" x14ac:dyDescent="0.25"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</row>
    <row r="102" spans="70:84" x14ac:dyDescent="0.25"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</row>
    <row r="103" spans="70:84" x14ac:dyDescent="0.25"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</row>
    <row r="104" spans="70:84" x14ac:dyDescent="0.25"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</row>
    <row r="105" spans="70:84" x14ac:dyDescent="0.25"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2"/>
      <c r="CB105" s="102"/>
      <c r="CC105" s="102"/>
      <c r="CD105" s="102"/>
      <c r="CE105" s="102"/>
      <c r="CF105" s="102"/>
    </row>
    <row r="106" spans="70:84" x14ac:dyDescent="0.25"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2"/>
      <c r="CE106" s="102"/>
      <c r="CF106" s="102"/>
    </row>
    <row r="107" spans="70:84" x14ac:dyDescent="0.25">
      <c r="BR107" s="102"/>
      <c r="BS107" s="102"/>
      <c r="BT107" s="102"/>
      <c r="BU107" s="102"/>
      <c r="BV107" s="102"/>
      <c r="BW107" s="102"/>
      <c r="BX107" s="102"/>
      <c r="BY107" s="102"/>
      <c r="BZ107" s="102"/>
      <c r="CA107" s="102"/>
      <c r="CB107" s="102"/>
      <c r="CC107" s="102"/>
      <c r="CD107" s="102"/>
      <c r="CE107" s="102"/>
      <c r="CF107" s="102"/>
    </row>
    <row r="108" spans="70:84" x14ac:dyDescent="0.25">
      <c r="BR108" s="102"/>
      <c r="BS108" s="102"/>
      <c r="BT108" s="102"/>
      <c r="BU108" s="102"/>
      <c r="BV108" s="102"/>
      <c r="BW108" s="102"/>
      <c r="BX108" s="102"/>
      <c r="BY108" s="102"/>
      <c r="BZ108" s="102"/>
      <c r="CA108" s="102"/>
      <c r="CB108" s="102"/>
      <c r="CC108" s="102"/>
      <c r="CD108" s="102"/>
      <c r="CE108" s="102"/>
      <c r="CF108" s="102"/>
    </row>
    <row r="109" spans="70:84" x14ac:dyDescent="0.25">
      <c r="BR109" s="102"/>
      <c r="BS109" s="102"/>
      <c r="BT109" s="102"/>
      <c r="BU109" s="102"/>
      <c r="BV109" s="102"/>
      <c r="BW109" s="102"/>
      <c r="BX109" s="102"/>
      <c r="BY109" s="102"/>
      <c r="BZ109" s="102"/>
      <c r="CA109" s="102"/>
      <c r="CB109" s="102"/>
      <c r="CC109" s="102"/>
      <c r="CD109" s="102"/>
      <c r="CE109" s="102"/>
      <c r="CF109" s="102"/>
    </row>
    <row r="110" spans="70:84" x14ac:dyDescent="0.25">
      <c r="BR110" s="102"/>
      <c r="BS110" s="102"/>
      <c r="BT110" s="102"/>
      <c r="BU110" s="102"/>
      <c r="BV110" s="102"/>
      <c r="BW110" s="102"/>
      <c r="BX110" s="102"/>
      <c r="BY110" s="102"/>
      <c r="BZ110" s="102"/>
      <c r="CA110" s="102"/>
      <c r="CB110" s="102"/>
      <c r="CC110" s="102"/>
      <c r="CD110" s="102"/>
      <c r="CE110" s="102"/>
      <c r="CF110" s="102"/>
    </row>
    <row r="111" spans="70:84" x14ac:dyDescent="0.25">
      <c r="BR111" s="102"/>
      <c r="BS111" s="102"/>
      <c r="BT111" s="102"/>
      <c r="BU111" s="102"/>
      <c r="BV111" s="102"/>
      <c r="BW111" s="102"/>
      <c r="BX111" s="102"/>
      <c r="BY111" s="102"/>
      <c r="BZ111" s="102"/>
      <c r="CA111" s="102"/>
      <c r="CB111" s="102"/>
      <c r="CC111" s="102"/>
      <c r="CD111" s="102"/>
      <c r="CE111" s="102"/>
      <c r="CF111" s="102"/>
    </row>
    <row r="112" spans="70:84" x14ac:dyDescent="0.25">
      <c r="BR112" s="102"/>
      <c r="BS112" s="102"/>
      <c r="BT112" s="102"/>
      <c r="BU112" s="102"/>
      <c r="BV112" s="102"/>
      <c r="BW112" s="102"/>
      <c r="BX112" s="102"/>
      <c r="BY112" s="102"/>
      <c r="BZ112" s="102"/>
      <c r="CA112" s="102"/>
      <c r="CB112" s="102"/>
      <c r="CC112" s="102"/>
      <c r="CD112" s="102"/>
      <c r="CE112" s="102"/>
      <c r="CF112" s="102"/>
    </row>
  </sheetData>
  <sheetProtection password="81C6" sheet="1" objects="1" scenarios="1" selectLockedCells="1"/>
  <mergeCells count="74">
    <mergeCell ref="AG3:AI3"/>
    <mergeCell ref="AG2:AI2"/>
    <mergeCell ref="AJ1:AQ4"/>
    <mergeCell ref="A1:C4"/>
    <mergeCell ref="I4:AD4"/>
    <mergeCell ref="D1:AH1"/>
    <mergeCell ref="AG4:AI4"/>
    <mergeCell ref="K74:L74"/>
    <mergeCell ref="M74:N74"/>
    <mergeCell ref="K75:L75"/>
    <mergeCell ref="M75:N75"/>
    <mergeCell ref="K70:Q70"/>
    <mergeCell ref="K72:L72"/>
    <mergeCell ref="M72:N72"/>
    <mergeCell ref="K73:L73"/>
    <mergeCell ref="M73:N73"/>
    <mergeCell ref="I7:I8"/>
    <mergeCell ref="J7:J8"/>
    <mergeCell ref="K7:K8"/>
    <mergeCell ref="L7:L8"/>
    <mergeCell ref="M7:M8"/>
    <mergeCell ref="N7:N8"/>
    <mergeCell ref="AF7:AF8"/>
    <mergeCell ref="P7:P8"/>
    <mergeCell ref="O7:O8"/>
    <mergeCell ref="Q7:Q8"/>
    <mergeCell ref="R7:R8"/>
    <mergeCell ref="CD7:CD8"/>
    <mergeCell ref="CE7:CE8"/>
    <mergeCell ref="CF7:CF8"/>
    <mergeCell ref="BX7:BX8"/>
    <mergeCell ref="BY7:BY8"/>
    <mergeCell ref="BZ7:BZ8"/>
    <mergeCell ref="CA7:CA8"/>
    <mergeCell ref="CB7:CB8"/>
    <mergeCell ref="CC7:CC8"/>
    <mergeCell ref="BW7:BW8"/>
    <mergeCell ref="BC7:BC8"/>
    <mergeCell ref="BD7:BD8"/>
    <mergeCell ref="BN7:BN8"/>
    <mergeCell ref="BO7:BO8"/>
    <mergeCell ref="BP7:BP8"/>
    <mergeCell ref="BQ7:BQ8"/>
    <mergeCell ref="BR7:BR8"/>
    <mergeCell ref="BS7:BS8"/>
    <mergeCell ref="BT7:BT8"/>
    <mergeCell ref="BU7:BU8"/>
    <mergeCell ref="BV7:BV8"/>
    <mergeCell ref="BB7:BB8"/>
    <mergeCell ref="AW7:AW8"/>
    <mergeCell ref="AX7:AX8"/>
    <mergeCell ref="AY7:AY8"/>
    <mergeCell ref="AZ7:AZ8"/>
    <mergeCell ref="BA7:BA8"/>
    <mergeCell ref="AQ7:AQ8"/>
    <mergeCell ref="AV7:AV8"/>
    <mergeCell ref="AE7:AE8"/>
    <mergeCell ref="T7:T8"/>
    <mergeCell ref="V7:V8"/>
    <mergeCell ref="X7:X8"/>
    <mergeCell ref="Z7:Z8"/>
    <mergeCell ref="AB7:AB8"/>
    <mergeCell ref="AG7:AG8"/>
    <mergeCell ref="AH7:AJ7"/>
    <mergeCell ref="AL7:AL8"/>
    <mergeCell ref="AN7:AP7"/>
    <mergeCell ref="AA7:AA8"/>
    <mergeCell ref="AD7:AD8"/>
    <mergeCell ref="AC7:AC8"/>
    <mergeCell ref="A7:A8"/>
    <mergeCell ref="C7:C8"/>
    <mergeCell ref="D7:D8"/>
    <mergeCell ref="E7:F7"/>
    <mergeCell ref="G7:H7"/>
  </mergeCells>
  <conditionalFormatting sqref="AP10 AP26 AP43">
    <cfRule type="cellIs" dxfId="59" priority="62" operator="greaterThan">
      <formula>D10</formula>
    </cfRule>
  </conditionalFormatting>
  <conditionalFormatting sqref="AP11">
    <cfRule type="cellIs" dxfId="58" priority="61" operator="greaterThan">
      <formula>D11</formula>
    </cfRule>
  </conditionalFormatting>
  <conditionalFormatting sqref="AP9">
    <cfRule type="cellIs" dxfId="57" priority="60" operator="greaterThan">
      <formula>D9</formula>
    </cfRule>
  </conditionalFormatting>
  <conditionalFormatting sqref="AP13">
    <cfRule type="cellIs" dxfId="56" priority="59" operator="greaterThan">
      <formula>D13</formula>
    </cfRule>
  </conditionalFormatting>
  <conditionalFormatting sqref="AP14">
    <cfRule type="cellIs" dxfId="55" priority="58" operator="greaterThan">
      <formula>D14</formula>
    </cfRule>
  </conditionalFormatting>
  <conditionalFormatting sqref="AP15">
    <cfRule type="cellIs" dxfId="54" priority="57" operator="greaterThan">
      <formula>D15</formula>
    </cfRule>
  </conditionalFormatting>
  <conditionalFormatting sqref="AP16">
    <cfRule type="cellIs" dxfId="53" priority="56" operator="greaterThan">
      <formula>D16</formula>
    </cfRule>
  </conditionalFormatting>
  <conditionalFormatting sqref="AP17">
    <cfRule type="cellIs" dxfId="52" priority="55" operator="greaterThan">
      <formula>D17</formula>
    </cfRule>
  </conditionalFormatting>
  <conditionalFormatting sqref="AP18">
    <cfRule type="cellIs" dxfId="51" priority="54" operator="greaterThan">
      <formula>D18</formula>
    </cfRule>
  </conditionalFormatting>
  <conditionalFormatting sqref="AP19">
    <cfRule type="cellIs" dxfId="50" priority="53" operator="greaterThan">
      <formula>D19</formula>
    </cfRule>
  </conditionalFormatting>
  <conditionalFormatting sqref="AP20">
    <cfRule type="cellIs" dxfId="49" priority="52" operator="greaterThan">
      <formula>D20</formula>
    </cfRule>
  </conditionalFormatting>
  <conditionalFormatting sqref="AP21">
    <cfRule type="cellIs" dxfId="48" priority="51" operator="greaterThan">
      <formula>D21</formula>
    </cfRule>
  </conditionalFormatting>
  <conditionalFormatting sqref="AP22">
    <cfRule type="cellIs" dxfId="47" priority="50" operator="greaterThan">
      <formula>D22</formula>
    </cfRule>
  </conditionalFormatting>
  <conditionalFormatting sqref="AP23">
    <cfRule type="cellIs" dxfId="46" priority="49" operator="greaterThan">
      <formula>D23</formula>
    </cfRule>
  </conditionalFormatting>
  <conditionalFormatting sqref="AP24">
    <cfRule type="cellIs" dxfId="45" priority="48" operator="greaterThan">
      <formula>D24</formula>
    </cfRule>
  </conditionalFormatting>
  <conditionalFormatting sqref="AP25">
    <cfRule type="cellIs" dxfId="44" priority="47" operator="greaterThan">
      <formula>D25</formula>
    </cfRule>
  </conditionalFormatting>
  <conditionalFormatting sqref="AP27">
    <cfRule type="cellIs" dxfId="43" priority="45" operator="greaterThan">
      <formula>D27</formula>
    </cfRule>
  </conditionalFormatting>
  <conditionalFormatting sqref="AP28">
    <cfRule type="cellIs" dxfId="42" priority="44" operator="greaterThan">
      <formula>D28</formula>
    </cfRule>
  </conditionalFormatting>
  <conditionalFormatting sqref="AP29">
    <cfRule type="cellIs" dxfId="41" priority="43" operator="greaterThan">
      <formula>D29</formula>
    </cfRule>
  </conditionalFormatting>
  <conditionalFormatting sqref="AP30">
    <cfRule type="cellIs" dxfId="40" priority="42" operator="greaterThan">
      <formula>D30</formula>
    </cfRule>
  </conditionalFormatting>
  <conditionalFormatting sqref="AP31">
    <cfRule type="cellIs" dxfId="39" priority="41" operator="greaterThan">
      <formula>D31</formula>
    </cfRule>
  </conditionalFormatting>
  <conditionalFormatting sqref="AP32">
    <cfRule type="cellIs" dxfId="38" priority="40" operator="greaterThan">
      <formula>D32</formula>
    </cfRule>
  </conditionalFormatting>
  <conditionalFormatting sqref="AP33">
    <cfRule type="cellIs" dxfId="37" priority="39" operator="greaterThan">
      <formula>D33</formula>
    </cfRule>
  </conditionalFormatting>
  <conditionalFormatting sqref="AP34">
    <cfRule type="cellIs" dxfId="36" priority="38" operator="greaterThan">
      <formula>D34</formula>
    </cfRule>
  </conditionalFormatting>
  <conditionalFormatting sqref="AP35">
    <cfRule type="cellIs" dxfId="35" priority="37" operator="greaterThan">
      <formula>D35</formula>
    </cfRule>
  </conditionalFormatting>
  <conditionalFormatting sqref="AP51">
    <cfRule type="cellIs" dxfId="34" priority="36" operator="greaterThan">
      <formula>D51</formula>
    </cfRule>
  </conditionalFormatting>
  <conditionalFormatting sqref="AP52">
    <cfRule type="cellIs" dxfId="33" priority="35" operator="greaterThan">
      <formula>D52</formula>
    </cfRule>
  </conditionalFormatting>
  <conditionalFormatting sqref="AP53">
    <cfRule type="cellIs" dxfId="32" priority="34" operator="greaterThan">
      <formula>D53</formula>
    </cfRule>
  </conditionalFormatting>
  <conditionalFormatting sqref="AP54">
    <cfRule type="cellIs" dxfId="31" priority="33" operator="greaterThan">
      <formula>D54</formula>
    </cfRule>
  </conditionalFormatting>
  <conditionalFormatting sqref="AP55">
    <cfRule type="cellIs" dxfId="30" priority="32" operator="greaterThan">
      <formula>D55</formula>
    </cfRule>
  </conditionalFormatting>
  <conditionalFormatting sqref="AP56">
    <cfRule type="cellIs" dxfId="29" priority="31" operator="greaterThan">
      <formula>D56</formula>
    </cfRule>
  </conditionalFormatting>
  <conditionalFormatting sqref="AP57">
    <cfRule type="cellIs" dxfId="28" priority="30" operator="greaterThan">
      <formula>D57</formula>
    </cfRule>
  </conditionalFormatting>
  <conditionalFormatting sqref="AP58">
    <cfRule type="cellIs" dxfId="27" priority="29" operator="greaterThan">
      <formula>D58</formula>
    </cfRule>
  </conditionalFormatting>
  <conditionalFormatting sqref="AQ9 AQ13:AQ35 AQ42:AQ50">
    <cfRule type="cellIs" dxfId="26" priority="27" operator="between">
      <formula>6</formula>
      <formula>4</formula>
    </cfRule>
    <cfRule type="cellIs" dxfId="25" priority="28" operator="lessThanOrEqual">
      <formula>4</formula>
    </cfRule>
  </conditionalFormatting>
  <conditionalFormatting sqref="AQ10">
    <cfRule type="cellIs" dxfId="24" priority="25" operator="between">
      <formula>6</formula>
      <formula>4</formula>
    </cfRule>
    <cfRule type="cellIs" dxfId="23" priority="26" operator="lessThanOrEqual">
      <formula>4</formula>
    </cfRule>
  </conditionalFormatting>
  <conditionalFormatting sqref="AQ11 AQ51:AQ58">
    <cfRule type="cellIs" dxfId="22" priority="23" operator="between">
      <formula>6</formula>
      <formula>4</formula>
    </cfRule>
    <cfRule type="cellIs" dxfId="21" priority="24" operator="lessThanOrEqual">
      <formula>4</formula>
    </cfRule>
  </conditionalFormatting>
  <conditionalFormatting sqref="AP12">
    <cfRule type="cellIs" dxfId="20" priority="22" operator="greaterThan">
      <formula>D12</formula>
    </cfRule>
  </conditionalFormatting>
  <conditionalFormatting sqref="AQ12">
    <cfRule type="cellIs" dxfId="19" priority="20" operator="between">
      <formula>6</formula>
      <formula>4</formula>
    </cfRule>
    <cfRule type="cellIs" dxfId="18" priority="21" operator="lessThanOrEqual">
      <formula>4</formula>
    </cfRule>
  </conditionalFormatting>
  <conditionalFormatting sqref="AP36">
    <cfRule type="cellIs" dxfId="17" priority="19" operator="greaterThan">
      <formula>D36</formula>
    </cfRule>
  </conditionalFormatting>
  <conditionalFormatting sqref="AP47">
    <cfRule type="cellIs" dxfId="16" priority="18" operator="greaterThan">
      <formula>D47</formula>
    </cfRule>
  </conditionalFormatting>
  <conditionalFormatting sqref="AP48">
    <cfRule type="cellIs" dxfId="15" priority="17" operator="greaterThan">
      <formula>D48</formula>
    </cfRule>
  </conditionalFormatting>
  <conditionalFormatting sqref="AP49">
    <cfRule type="cellIs" dxfId="14" priority="16" operator="greaterThan">
      <formula>D49</formula>
    </cfRule>
  </conditionalFormatting>
  <conditionalFormatting sqref="AP50">
    <cfRule type="cellIs" dxfId="13" priority="15" operator="greaterThan">
      <formula>D50</formula>
    </cfRule>
  </conditionalFormatting>
  <conditionalFormatting sqref="AQ36">
    <cfRule type="cellIs" dxfId="12" priority="13" operator="between">
      <formula>6</formula>
      <formula>4</formula>
    </cfRule>
    <cfRule type="cellIs" dxfId="11" priority="14" operator="lessThanOrEqual">
      <formula>4</formula>
    </cfRule>
  </conditionalFormatting>
  <conditionalFormatting sqref="AP42">
    <cfRule type="cellIs" dxfId="10" priority="12" operator="greaterThan">
      <formula>D42</formula>
    </cfRule>
  </conditionalFormatting>
  <conditionalFormatting sqref="AP44">
    <cfRule type="cellIs" dxfId="9" priority="10" operator="greaterThan">
      <formula>D44</formula>
    </cfRule>
  </conditionalFormatting>
  <conditionalFormatting sqref="AP45">
    <cfRule type="cellIs" dxfId="8" priority="9" operator="greaterThan">
      <formula>D45</formula>
    </cfRule>
  </conditionalFormatting>
  <conditionalFormatting sqref="AP46">
    <cfRule type="cellIs" dxfId="7" priority="8" operator="greaterThan">
      <formula>D46</formula>
    </cfRule>
  </conditionalFormatting>
  <conditionalFormatting sqref="AP37">
    <cfRule type="cellIs" dxfId="6" priority="7" operator="greaterThan">
      <formula>D37</formula>
    </cfRule>
  </conditionalFormatting>
  <conditionalFormatting sqref="AP38">
    <cfRule type="cellIs" dxfId="5" priority="6" operator="greaterThan">
      <formula>D38</formula>
    </cfRule>
  </conditionalFormatting>
  <conditionalFormatting sqref="AP39">
    <cfRule type="cellIs" dxfId="4" priority="5" operator="greaterThan">
      <formula>D39</formula>
    </cfRule>
  </conditionalFormatting>
  <conditionalFormatting sqref="AP40">
    <cfRule type="cellIs" dxfId="3" priority="4" operator="greaterThan">
      <formula>D40</formula>
    </cfRule>
  </conditionalFormatting>
  <conditionalFormatting sqref="AP41">
    <cfRule type="cellIs" dxfId="2" priority="3" operator="greaterThan">
      <formula>D41</formula>
    </cfRule>
  </conditionalFormatting>
  <conditionalFormatting sqref="AQ37:AQ41">
    <cfRule type="cellIs" dxfId="1" priority="1" operator="between">
      <formula>6</formula>
      <formula>4</formula>
    </cfRule>
    <cfRule type="cellIs" dxfId="0" priority="2" operator="lessThanOrEqual">
      <formula>4</formula>
    </cfRule>
  </conditionalFormatting>
  <printOptions horizontalCentered="1" verticalCentered="1"/>
  <pageMargins left="0.70866141732283472" right="0" top="0.15748031496062992" bottom="0.15748031496062992" header="0.11811023622047245" footer="0.11811023622047245"/>
  <pageSetup paperSize="8" scale="72" fitToHeight="0" orientation="landscape" r:id="rId1"/>
  <headerFooter>
    <oddFooter>&amp;L&amp;8&amp;F/&amp;A&amp;R&amp;8&amp;D &amp;T</oddFooter>
  </headerFooter>
  <colBreaks count="1" manualBreakCount="1">
    <brk id="47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9F1-FFA0-4AD0-AC3D-7B60146802F2}">
  <sheetPr codeName="Sheet02">
    <pageSetUpPr fitToPage="1"/>
  </sheetPr>
  <dimension ref="A1:X51"/>
  <sheetViews>
    <sheetView workbookViewId="0">
      <selection activeCell="A9" sqref="A9"/>
    </sheetView>
  </sheetViews>
  <sheetFormatPr defaultColWidth="0" defaultRowHeight="11.25" x14ac:dyDescent="0.2"/>
  <cols>
    <col min="1" max="1" width="27.140625" style="129" customWidth="1"/>
    <col min="2" max="2" width="8.28515625" style="129" customWidth="1"/>
    <col min="3" max="3" width="0" style="129" hidden="1" customWidth="1"/>
    <col min="4" max="5" width="8.28515625" style="129" customWidth="1"/>
    <col min="6" max="6" width="0" style="129" hidden="1" customWidth="1"/>
    <col min="7" max="7" width="8.28515625" style="129" customWidth="1"/>
    <col min="8" max="8" width="0" style="129" hidden="1" customWidth="1"/>
    <col min="9" max="9" width="8.28515625" style="129" customWidth="1"/>
    <col min="10" max="10" width="0" style="129" hidden="1" customWidth="1"/>
    <col min="11" max="20" width="8.28515625" style="129" customWidth="1"/>
    <col min="21" max="21" width="0.42578125" style="129" customWidth="1"/>
    <col min="22" max="24" width="0" style="129" hidden="1" customWidth="1"/>
    <col min="25" max="16384" width="8.28515625" style="129" hidden="1"/>
  </cols>
  <sheetData>
    <row r="1" spans="1:24" s="64" customFormat="1" ht="15.75" customHeight="1" x14ac:dyDescent="0.25">
      <c r="A1" s="549"/>
      <c r="B1" s="537" t="s">
        <v>264</v>
      </c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9"/>
      <c r="R1" s="522"/>
      <c r="S1" s="523"/>
      <c r="T1" s="524"/>
      <c r="U1" s="3"/>
      <c r="V1" s="3"/>
      <c r="W1" s="3"/>
      <c r="X1" s="3"/>
    </row>
    <row r="2" spans="1:24" s="64" customFormat="1" ht="15.75" customHeight="1" x14ac:dyDescent="0.2">
      <c r="A2" s="550"/>
      <c r="B2" s="251" t="s">
        <v>262</v>
      </c>
      <c r="C2" s="251"/>
      <c r="D2" s="415"/>
      <c r="E2" s="416" t="str">
        <f>'Pipe Rack - Calculation'!$I$2</f>
        <v>North Gialo (6J) Post FEED Services Stage 2</v>
      </c>
      <c r="F2" s="416"/>
      <c r="G2" s="251"/>
      <c r="H2" s="251"/>
      <c r="I2" s="417"/>
      <c r="J2" s="417"/>
      <c r="K2" s="251"/>
      <c r="L2" s="251"/>
      <c r="M2" s="251"/>
      <c r="N2" s="418" t="s">
        <v>261</v>
      </c>
      <c r="O2" s="419"/>
      <c r="P2" s="543" t="str">
        <f>IF('Pipe Rack - Calculation'!AG2=0,"",'Pipe Rack - Calculation'!AG2)</f>
        <v/>
      </c>
      <c r="Q2" s="544"/>
      <c r="R2" s="525"/>
      <c r="S2" s="526"/>
      <c r="T2" s="527"/>
    </row>
    <row r="3" spans="1:24" s="64" customFormat="1" ht="15.75" customHeight="1" x14ac:dyDescent="0.2">
      <c r="A3" s="550"/>
      <c r="B3" s="251" t="s">
        <v>260</v>
      </c>
      <c r="C3" s="251"/>
      <c r="D3" s="415"/>
      <c r="E3" s="251" t="str">
        <f>'Pipe Rack - Calculation'!$I$3</f>
        <v>WAHA Oil Company</v>
      </c>
      <c r="F3" s="251"/>
      <c r="G3" s="251"/>
      <c r="H3" s="251"/>
      <c r="I3" s="417"/>
      <c r="J3" s="417"/>
      <c r="K3" s="251"/>
      <c r="L3" s="251"/>
      <c r="M3" s="251"/>
      <c r="N3" s="418" t="s">
        <v>258</v>
      </c>
      <c r="O3" s="415"/>
      <c r="P3" s="545" t="str">
        <f>IF('Pipe Rack - Calculation'!AG3=0,"",'Pipe Rack - Calculation'!AG3)</f>
        <v/>
      </c>
      <c r="Q3" s="546"/>
      <c r="R3" s="525"/>
      <c r="S3" s="526"/>
      <c r="T3" s="527"/>
    </row>
    <row r="4" spans="1:24" s="64" customFormat="1" ht="15.75" customHeight="1" thickBot="1" x14ac:dyDescent="0.25">
      <c r="A4" s="551"/>
      <c r="B4" s="193" t="s">
        <v>257</v>
      </c>
      <c r="C4" s="193"/>
      <c r="D4" s="194"/>
      <c r="E4" s="416" t="str">
        <f>'Pipe Rack - Calculation'!$I$4</f>
        <v>5900R-GL-L-CA-0000</v>
      </c>
      <c r="F4" s="416"/>
      <c r="G4" s="193"/>
      <c r="H4" s="193"/>
      <c r="I4" s="420"/>
      <c r="J4" s="420"/>
      <c r="K4" s="193"/>
      <c r="L4" s="193"/>
      <c r="M4" s="193"/>
      <c r="N4" s="195" t="s">
        <v>256</v>
      </c>
      <c r="O4" s="194"/>
      <c r="P4" s="547" t="str">
        <f>IF('Pipe Rack - Calculation'!AG4=0,"",'Pipe Rack - Calculation'!AG4)</f>
        <v/>
      </c>
      <c r="Q4" s="548"/>
      <c r="R4" s="528"/>
      <c r="S4" s="529"/>
      <c r="T4" s="530"/>
    </row>
    <row r="5" spans="1:24" s="64" customFormat="1" hidden="1" x14ac:dyDescent="0.2">
      <c r="A5" s="421"/>
      <c r="B5" s="422"/>
      <c r="C5" s="422"/>
      <c r="D5" s="423"/>
      <c r="E5" s="424"/>
      <c r="F5" s="424"/>
      <c r="G5" s="423"/>
      <c r="H5" s="423"/>
      <c r="I5" s="425"/>
      <c r="J5" s="425"/>
      <c r="K5" s="426"/>
      <c r="L5" s="427"/>
      <c r="M5" s="427"/>
      <c r="N5" s="427"/>
      <c r="O5" s="427"/>
      <c r="P5" s="427"/>
      <c r="Q5" s="427"/>
      <c r="R5" s="427"/>
      <c r="S5" s="427"/>
      <c r="T5" s="428"/>
      <c r="U5" s="429"/>
      <c r="V5" s="429"/>
      <c r="W5" s="429"/>
      <c r="X5" s="428"/>
    </row>
    <row r="6" spans="1:24" s="64" customFormat="1" ht="12" hidden="1" thickBot="1" x14ac:dyDescent="0.25">
      <c r="A6" s="430"/>
      <c r="B6" s="194"/>
      <c r="C6" s="194"/>
      <c r="D6" s="431"/>
      <c r="E6" s="432"/>
      <c r="F6" s="432"/>
      <c r="G6" s="431"/>
      <c r="H6" s="431"/>
      <c r="I6" s="433"/>
      <c r="J6" s="433"/>
      <c r="K6" s="431"/>
      <c r="L6" s="432"/>
      <c r="M6" s="432"/>
      <c r="N6" s="432"/>
      <c r="O6" s="432"/>
      <c r="P6" s="432"/>
      <c r="Q6" s="432"/>
      <c r="R6" s="432"/>
      <c r="S6" s="432"/>
      <c r="T6" s="434"/>
      <c r="U6" s="433"/>
      <c r="V6" s="433"/>
      <c r="W6" s="433"/>
      <c r="X6" s="434"/>
    </row>
    <row r="7" spans="1:24" s="64" customFormat="1" ht="45" x14ac:dyDescent="0.2">
      <c r="A7" s="552" t="s">
        <v>255</v>
      </c>
      <c r="B7" s="453" t="s">
        <v>265</v>
      </c>
      <c r="C7" s="453"/>
      <c r="D7" s="458" t="s">
        <v>190</v>
      </c>
      <c r="E7" s="453" t="s">
        <v>239</v>
      </c>
      <c r="F7" s="453"/>
      <c r="G7" s="456" t="s">
        <v>241</v>
      </c>
      <c r="H7" s="449"/>
      <c r="I7" s="541" t="s">
        <v>240</v>
      </c>
      <c r="J7" s="451"/>
      <c r="K7" s="531" t="s">
        <v>238</v>
      </c>
      <c r="L7" s="435" t="s">
        <v>266</v>
      </c>
      <c r="M7" s="435" t="s">
        <v>267</v>
      </c>
      <c r="N7" s="435" t="s">
        <v>268</v>
      </c>
      <c r="O7" s="435" t="s">
        <v>269</v>
      </c>
      <c r="P7" s="435" t="s">
        <v>270</v>
      </c>
      <c r="Q7" s="435" t="s">
        <v>271</v>
      </c>
      <c r="R7" s="533" t="s">
        <v>272</v>
      </c>
      <c r="S7" s="533"/>
      <c r="T7" s="534"/>
    </row>
    <row r="8" spans="1:24" s="64" customFormat="1" x14ac:dyDescent="0.2">
      <c r="A8" s="553"/>
      <c r="B8" s="454"/>
      <c r="C8" s="454"/>
      <c r="D8" s="540"/>
      <c r="E8" s="454"/>
      <c r="F8" s="454"/>
      <c r="G8" s="457"/>
      <c r="H8" s="450"/>
      <c r="I8" s="542"/>
      <c r="J8" s="452"/>
      <c r="K8" s="532"/>
      <c r="L8" s="436" t="s">
        <v>273</v>
      </c>
      <c r="M8" s="436" t="s">
        <v>274</v>
      </c>
      <c r="N8" s="436" t="s">
        <v>275</v>
      </c>
      <c r="O8" s="436" t="s">
        <v>276</v>
      </c>
      <c r="P8" s="436" t="s">
        <v>277</v>
      </c>
      <c r="Q8" s="436" t="s">
        <v>278</v>
      </c>
      <c r="R8" s="535"/>
      <c r="S8" s="535"/>
      <c r="T8" s="536"/>
      <c r="W8" s="64">
        <f>COUNTBLANK(W9:W51)</f>
        <v>42</v>
      </c>
    </row>
    <row r="9" spans="1:24" x14ac:dyDescent="0.2">
      <c r="A9" s="196"/>
      <c r="B9" s="197"/>
      <c r="C9" s="186"/>
      <c r="D9" s="173"/>
      <c r="E9" s="12"/>
      <c r="F9" s="186"/>
      <c r="G9" s="198"/>
      <c r="H9" s="186"/>
      <c r="I9" s="198"/>
      <c r="J9" s="186"/>
      <c r="K9" s="199"/>
      <c r="L9" s="200"/>
      <c r="M9" s="200"/>
      <c r="N9" s="200"/>
      <c r="O9" s="200"/>
      <c r="P9" s="200"/>
      <c r="Q9" s="200"/>
      <c r="R9" s="328"/>
      <c r="S9" s="329"/>
      <c r="T9" s="330"/>
    </row>
    <row r="10" spans="1:24" x14ac:dyDescent="0.2">
      <c r="A10" s="196"/>
      <c r="B10" s="175"/>
      <c r="C10" s="170"/>
      <c r="D10" s="173"/>
      <c r="E10" s="201"/>
      <c r="F10" s="170"/>
      <c r="G10" s="202"/>
      <c r="H10" s="170"/>
      <c r="I10" s="202"/>
      <c r="J10" s="170"/>
      <c r="K10" s="203"/>
      <c r="L10" s="200"/>
      <c r="M10" s="200"/>
      <c r="N10" s="200"/>
      <c r="O10" s="200"/>
      <c r="P10" s="200"/>
      <c r="Q10" s="200"/>
      <c r="R10" s="325"/>
      <c r="S10" s="326"/>
      <c r="T10" s="327"/>
    </row>
    <row r="11" spans="1:24" x14ac:dyDescent="0.2">
      <c r="A11" s="196"/>
      <c r="B11" s="175"/>
      <c r="C11" s="170"/>
      <c r="D11" s="173"/>
      <c r="E11" s="201"/>
      <c r="F11" s="170"/>
      <c r="G11" s="202"/>
      <c r="H11" s="170"/>
      <c r="I11" s="202"/>
      <c r="J11" s="170"/>
      <c r="K11" s="204"/>
      <c r="L11" s="200"/>
      <c r="M11" s="200"/>
      <c r="N11" s="200"/>
      <c r="O11" s="200"/>
      <c r="P11" s="200"/>
      <c r="Q11" s="200"/>
      <c r="R11" s="325"/>
      <c r="S11" s="326"/>
      <c r="T11" s="327"/>
    </row>
    <row r="12" spans="1:24" x14ac:dyDescent="0.2">
      <c r="A12" s="196"/>
      <c r="B12" s="175"/>
      <c r="C12" s="170"/>
      <c r="D12" s="173"/>
      <c r="E12" s="201"/>
      <c r="F12" s="170"/>
      <c r="G12" s="202"/>
      <c r="H12" s="170"/>
      <c r="I12" s="202"/>
      <c r="J12" s="170"/>
      <c r="K12" s="204"/>
      <c r="L12" s="200"/>
      <c r="M12" s="200"/>
      <c r="N12" s="200"/>
      <c r="O12" s="200"/>
      <c r="P12" s="200"/>
      <c r="Q12" s="200"/>
      <c r="R12" s="325"/>
      <c r="S12" s="326"/>
      <c r="T12" s="327"/>
    </row>
    <row r="13" spans="1:24" x14ac:dyDescent="0.2">
      <c r="A13" s="196"/>
      <c r="B13" s="175"/>
      <c r="C13" s="170"/>
      <c r="D13" s="173"/>
      <c r="E13" s="201"/>
      <c r="F13" s="170"/>
      <c r="G13" s="202"/>
      <c r="H13" s="170"/>
      <c r="I13" s="202"/>
      <c r="J13" s="170"/>
      <c r="K13" s="204"/>
      <c r="L13" s="200"/>
      <c r="M13" s="200"/>
      <c r="N13" s="200"/>
      <c r="O13" s="200"/>
      <c r="P13" s="200"/>
      <c r="Q13" s="200"/>
      <c r="R13" s="325"/>
      <c r="S13" s="326"/>
      <c r="T13" s="327"/>
    </row>
    <row r="14" spans="1:24" x14ac:dyDescent="0.2">
      <c r="A14" s="196"/>
      <c r="B14" s="175"/>
      <c r="C14" s="170"/>
      <c r="D14" s="173"/>
      <c r="E14" s="201"/>
      <c r="F14" s="170"/>
      <c r="G14" s="202"/>
      <c r="H14" s="170"/>
      <c r="I14" s="202"/>
      <c r="J14" s="170"/>
      <c r="K14" s="204"/>
      <c r="L14" s="200"/>
      <c r="M14" s="200"/>
      <c r="N14" s="200"/>
      <c r="O14" s="200"/>
      <c r="P14" s="200"/>
      <c r="Q14" s="200"/>
      <c r="R14" s="325"/>
      <c r="S14" s="326"/>
      <c r="T14" s="327"/>
    </row>
    <row r="15" spans="1:24" x14ac:dyDescent="0.2">
      <c r="A15" s="196"/>
      <c r="B15" s="175"/>
      <c r="C15" s="170"/>
      <c r="D15" s="173"/>
      <c r="E15" s="201"/>
      <c r="F15" s="170"/>
      <c r="G15" s="202"/>
      <c r="H15" s="170"/>
      <c r="I15" s="202"/>
      <c r="J15" s="170"/>
      <c r="K15" s="204"/>
      <c r="L15" s="200"/>
      <c r="M15" s="200"/>
      <c r="N15" s="200"/>
      <c r="O15" s="200"/>
      <c r="P15" s="200"/>
      <c r="Q15" s="200"/>
      <c r="R15" s="325"/>
      <c r="S15" s="326"/>
      <c r="T15" s="327"/>
    </row>
    <row r="16" spans="1:24" x14ac:dyDescent="0.2">
      <c r="A16" s="196"/>
      <c r="B16" s="175"/>
      <c r="C16" s="170"/>
      <c r="D16" s="173"/>
      <c r="E16" s="201"/>
      <c r="F16" s="170"/>
      <c r="G16" s="202"/>
      <c r="H16" s="170"/>
      <c r="I16" s="202"/>
      <c r="J16" s="170"/>
      <c r="K16" s="204"/>
      <c r="L16" s="200"/>
      <c r="M16" s="200"/>
      <c r="N16" s="200"/>
      <c r="O16" s="200"/>
      <c r="P16" s="200"/>
      <c r="Q16" s="200"/>
      <c r="R16" s="325"/>
      <c r="S16" s="326"/>
      <c r="T16" s="327"/>
    </row>
    <row r="17" spans="1:23" x14ac:dyDescent="0.2">
      <c r="A17" s="196"/>
      <c r="B17" s="175"/>
      <c r="C17" s="170"/>
      <c r="D17" s="173"/>
      <c r="E17" s="201"/>
      <c r="F17" s="170"/>
      <c r="G17" s="202"/>
      <c r="H17" s="170"/>
      <c r="I17" s="202"/>
      <c r="J17" s="170"/>
      <c r="K17" s="204"/>
      <c r="L17" s="200"/>
      <c r="M17" s="200"/>
      <c r="N17" s="200"/>
      <c r="O17" s="200"/>
      <c r="P17" s="200"/>
      <c r="Q17" s="200"/>
      <c r="R17" s="325"/>
      <c r="S17" s="326"/>
      <c r="T17" s="327"/>
    </row>
    <row r="18" spans="1:23" x14ac:dyDescent="0.2">
      <c r="A18" s="196"/>
      <c r="B18" s="175"/>
      <c r="C18" s="170"/>
      <c r="D18" s="173"/>
      <c r="E18" s="201"/>
      <c r="F18" s="170"/>
      <c r="G18" s="202"/>
      <c r="H18" s="170"/>
      <c r="I18" s="202"/>
      <c r="J18" s="170"/>
      <c r="K18" s="204"/>
      <c r="L18" s="200"/>
      <c r="M18" s="200"/>
      <c r="N18" s="200"/>
      <c r="O18" s="200"/>
      <c r="P18" s="200"/>
      <c r="Q18" s="200"/>
      <c r="R18" s="325"/>
      <c r="S18" s="326"/>
      <c r="T18" s="327"/>
    </row>
    <row r="19" spans="1:23" x14ac:dyDescent="0.2">
      <c r="A19" s="196"/>
      <c r="B19" s="175"/>
      <c r="C19" s="170"/>
      <c r="D19" s="173"/>
      <c r="E19" s="201"/>
      <c r="F19" s="170"/>
      <c r="G19" s="202"/>
      <c r="H19" s="170"/>
      <c r="I19" s="202"/>
      <c r="J19" s="170"/>
      <c r="K19" s="204"/>
      <c r="L19" s="200"/>
      <c r="M19" s="200"/>
      <c r="N19" s="200"/>
      <c r="O19" s="200"/>
      <c r="P19" s="200"/>
      <c r="Q19" s="200"/>
      <c r="R19" s="325"/>
      <c r="S19" s="326"/>
      <c r="T19" s="327"/>
    </row>
    <row r="20" spans="1:23" x14ac:dyDescent="0.2">
      <c r="A20" s="196"/>
      <c r="B20" s="175"/>
      <c r="C20" s="170"/>
      <c r="D20" s="173"/>
      <c r="E20" s="201"/>
      <c r="F20" s="170"/>
      <c r="G20" s="202"/>
      <c r="H20" s="170"/>
      <c r="I20" s="202"/>
      <c r="J20" s="170"/>
      <c r="K20" s="204"/>
      <c r="L20" s="200"/>
      <c r="M20" s="200"/>
      <c r="N20" s="200"/>
      <c r="O20" s="200"/>
      <c r="P20" s="200"/>
      <c r="Q20" s="200"/>
      <c r="R20" s="325"/>
      <c r="S20" s="326"/>
      <c r="T20" s="327"/>
    </row>
    <row r="21" spans="1:23" x14ac:dyDescent="0.2">
      <c r="A21" s="196"/>
      <c r="B21" s="175"/>
      <c r="C21" s="170"/>
      <c r="D21" s="173"/>
      <c r="E21" s="201"/>
      <c r="F21" s="170"/>
      <c r="G21" s="202"/>
      <c r="H21" s="170"/>
      <c r="I21" s="202"/>
      <c r="J21" s="170"/>
      <c r="K21" s="204"/>
      <c r="L21" s="200"/>
      <c r="M21" s="200"/>
      <c r="N21" s="200"/>
      <c r="O21" s="200"/>
      <c r="P21" s="200"/>
      <c r="Q21" s="200"/>
      <c r="R21" s="325"/>
      <c r="S21" s="326"/>
      <c r="T21" s="327"/>
    </row>
    <row r="22" spans="1:23" x14ac:dyDescent="0.2">
      <c r="A22" s="196"/>
      <c r="B22" s="175"/>
      <c r="C22" s="170"/>
      <c r="D22" s="173"/>
      <c r="E22" s="201"/>
      <c r="F22" s="170"/>
      <c r="G22" s="202"/>
      <c r="H22" s="170"/>
      <c r="I22" s="202"/>
      <c r="J22" s="170"/>
      <c r="K22" s="204"/>
      <c r="L22" s="200"/>
      <c r="M22" s="200"/>
      <c r="N22" s="200"/>
      <c r="O22" s="200"/>
      <c r="P22" s="200"/>
      <c r="Q22" s="200"/>
      <c r="R22" s="325"/>
      <c r="S22" s="326"/>
      <c r="T22" s="327"/>
    </row>
    <row r="23" spans="1:23" x14ac:dyDescent="0.2">
      <c r="A23" s="196"/>
      <c r="B23" s="175"/>
      <c r="C23" s="170"/>
      <c r="D23" s="173"/>
      <c r="E23" s="201"/>
      <c r="F23" s="170"/>
      <c r="G23" s="202"/>
      <c r="H23" s="170"/>
      <c r="I23" s="202"/>
      <c r="J23" s="170"/>
      <c r="K23" s="204"/>
      <c r="L23" s="200"/>
      <c r="M23" s="200"/>
      <c r="N23" s="200"/>
      <c r="O23" s="200"/>
      <c r="P23" s="200"/>
      <c r="Q23" s="200"/>
      <c r="R23" s="325"/>
      <c r="S23" s="326"/>
      <c r="T23" s="327"/>
    </row>
    <row r="24" spans="1:23" x14ac:dyDescent="0.2">
      <c r="A24" s="196"/>
      <c r="B24" s="175"/>
      <c r="C24" s="170"/>
      <c r="D24" s="173"/>
      <c r="E24" s="201"/>
      <c r="F24" s="170"/>
      <c r="G24" s="202"/>
      <c r="H24" s="170"/>
      <c r="I24" s="202"/>
      <c r="J24" s="170"/>
      <c r="K24" s="204"/>
      <c r="L24" s="200"/>
      <c r="M24" s="200"/>
      <c r="N24" s="200"/>
      <c r="O24" s="200"/>
      <c r="P24" s="200"/>
      <c r="Q24" s="200"/>
      <c r="R24" s="325"/>
      <c r="S24" s="326"/>
      <c r="T24" s="327"/>
      <c r="W24" s="320"/>
    </row>
    <row r="25" spans="1:23" x14ac:dyDescent="0.2">
      <c r="A25" s="196"/>
      <c r="B25" s="175"/>
      <c r="C25" s="170"/>
      <c r="D25" s="173"/>
      <c r="E25" s="201"/>
      <c r="F25" s="170"/>
      <c r="G25" s="202"/>
      <c r="H25" s="170"/>
      <c r="I25" s="202"/>
      <c r="J25" s="170"/>
      <c r="K25" s="204"/>
      <c r="L25" s="200"/>
      <c r="M25" s="200"/>
      <c r="N25" s="200"/>
      <c r="O25" s="200"/>
      <c r="P25" s="200"/>
      <c r="Q25" s="200"/>
      <c r="R25" s="325"/>
      <c r="S25" s="326"/>
      <c r="T25" s="327"/>
    </row>
    <row r="26" spans="1:23" x14ac:dyDescent="0.2">
      <c r="A26" s="196"/>
      <c r="B26" s="175"/>
      <c r="C26" s="170"/>
      <c r="D26" s="173"/>
      <c r="E26" s="201"/>
      <c r="F26" s="170"/>
      <c r="G26" s="202"/>
      <c r="H26" s="170"/>
      <c r="I26" s="202"/>
      <c r="J26" s="170"/>
      <c r="K26" s="204"/>
      <c r="L26" s="200"/>
      <c r="M26" s="200"/>
      <c r="N26" s="200"/>
      <c r="O26" s="200"/>
      <c r="P26" s="200"/>
      <c r="Q26" s="200"/>
      <c r="R26" s="325"/>
      <c r="S26" s="326"/>
      <c r="T26" s="327"/>
    </row>
    <row r="27" spans="1:23" x14ac:dyDescent="0.2">
      <c r="A27" s="196"/>
      <c r="B27" s="175"/>
      <c r="C27" s="170"/>
      <c r="D27" s="173"/>
      <c r="E27" s="201"/>
      <c r="F27" s="170"/>
      <c r="G27" s="202"/>
      <c r="H27" s="170"/>
      <c r="I27" s="202"/>
      <c r="J27" s="170"/>
      <c r="K27" s="204"/>
      <c r="L27" s="200"/>
      <c r="M27" s="200"/>
      <c r="N27" s="200"/>
      <c r="O27" s="200"/>
      <c r="P27" s="200"/>
      <c r="Q27" s="200"/>
      <c r="R27" s="325"/>
      <c r="S27" s="326"/>
      <c r="T27" s="327"/>
    </row>
    <row r="28" spans="1:23" x14ac:dyDescent="0.2">
      <c r="A28" s="196"/>
      <c r="B28" s="175"/>
      <c r="C28" s="170"/>
      <c r="D28" s="173"/>
      <c r="E28" s="201"/>
      <c r="F28" s="170"/>
      <c r="G28" s="202"/>
      <c r="H28" s="170"/>
      <c r="I28" s="202"/>
      <c r="J28" s="170"/>
      <c r="K28" s="204"/>
      <c r="L28" s="200"/>
      <c r="M28" s="200"/>
      <c r="N28" s="200"/>
      <c r="O28" s="200"/>
      <c r="P28" s="200"/>
      <c r="Q28" s="200"/>
      <c r="R28" s="325"/>
      <c r="S28" s="326"/>
      <c r="T28" s="327"/>
    </row>
    <row r="29" spans="1:23" x14ac:dyDescent="0.2">
      <c r="A29" s="196"/>
      <c r="B29" s="175"/>
      <c r="C29" s="170"/>
      <c r="D29" s="173"/>
      <c r="E29" s="201"/>
      <c r="F29" s="170"/>
      <c r="G29" s="202"/>
      <c r="H29" s="170"/>
      <c r="I29" s="202"/>
      <c r="J29" s="170"/>
      <c r="K29" s="204"/>
      <c r="L29" s="200"/>
      <c r="M29" s="200"/>
      <c r="N29" s="200"/>
      <c r="O29" s="200"/>
      <c r="P29" s="200"/>
      <c r="Q29" s="200"/>
      <c r="R29" s="325"/>
      <c r="S29" s="326"/>
      <c r="T29" s="327"/>
    </row>
    <row r="30" spans="1:23" x14ac:dyDescent="0.2">
      <c r="A30" s="196"/>
      <c r="B30" s="175"/>
      <c r="C30" s="170"/>
      <c r="D30" s="173"/>
      <c r="E30" s="201"/>
      <c r="F30" s="170"/>
      <c r="G30" s="202"/>
      <c r="H30" s="170"/>
      <c r="I30" s="202"/>
      <c r="J30" s="170"/>
      <c r="K30" s="204"/>
      <c r="L30" s="200"/>
      <c r="M30" s="200"/>
      <c r="N30" s="200"/>
      <c r="O30" s="200"/>
      <c r="P30" s="200"/>
      <c r="Q30" s="200"/>
      <c r="R30" s="325"/>
      <c r="S30" s="326"/>
      <c r="T30" s="327"/>
    </row>
    <row r="31" spans="1:23" x14ac:dyDescent="0.2">
      <c r="A31" s="196"/>
      <c r="B31" s="175"/>
      <c r="C31" s="170"/>
      <c r="D31" s="173"/>
      <c r="E31" s="201"/>
      <c r="F31" s="170"/>
      <c r="G31" s="202"/>
      <c r="H31" s="170"/>
      <c r="I31" s="202"/>
      <c r="J31" s="170"/>
      <c r="K31" s="204"/>
      <c r="L31" s="200"/>
      <c r="M31" s="200"/>
      <c r="N31" s="200"/>
      <c r="O31" s="200"/>
      <c r="P31" s="200"/>
      <c r="Q31" s="200"/>
      <c r="R31" s="325"/>
      <c r="S31" s="326"/>
      <c r="T31" s="327"/>
    </row>
    <row r="32" spans="1:23" x14ac:dyDescent="0.2">
      <c r="A32" s="196"/>
      <c r="B32" s="175"/>
      <c r="C32" s="170"/>
      <c r="D32" s="173"/>
      <c r="E32" s="201"/>
      <c r="F32" s="170"/>
      <c r="G32" s="202"/>
      <c r="H32" s="170"/>
      <c r="I32" s="202"/>
      <c r="J32" s="170"/>
      <c r="K32" s="204"/>
      <c r="L32" s="200"/>
      <c r="M32" s="200"/>
      <c r="N32" s="200"/>
      <c r="O32" s="200"/>
      <c r="P32" s="200"/>
      <c r="Q32" s="200"/>
      <c r="R32" s="325"/>
      <c r="S32" s="326"/>
      <c r="T32" s="327"/>
    </row>
    <row r="33" spans="1:20" x14ac:dyDescent="0.2">
      <c r="A33" s="196"/>
      <c r="B33" s="175"/>
      <c r="C33" s="170"/>
      <c r="D33" s="173"/>
      <c r="E33" s="201"/>
      <c r="F33" s="170"/>
      <c r="G33" s="202"/>
      <c r="H33" s="170"/>
      <c r="I33" s="202"/>
      <c r="J33" s="170"/>
      <c r="K33" s="204"/>
      <c r="L33" s="200"/>
      <c r="M33" s="200"/>
      <c r="N33" s="200"/>
      <c r="O33" s="200"/>
      <c r="P33" s="200"/>
      <c r="Q33" s="200"/>
      <c r="R33" s="325"/>
      <c r="S33" s="326"/>
      <c r="T33" s="327"/>
    </row>
    <row r="34" spans="1:20" x14ac:dyDescent="0.2">
      <c r="A34" s="196"/>
      <c r="B34" s="175"/>
      <c r="C34" s="170"/>
      <c r="D34" s="173"/>
      <c r="E34" s="201"/>
      <c r="F34" s="170"/>
      <c r="G34" s="202"/>
      <c r="H34" s="170"/>
      <c r="I34" s="202"/>
      <c r="J34" s="170"/>
      <c r="K34" s="204"/>
      <c r="L34" s="200"/>
      <c r="M34" s="200"/>
      <c r="N34" s="200"/>
      <c r="O34" s="200"/>
      <c r="P34" s="200"/>
      <c r="Q34" s="200"/>
      <c r="R34" s="325"/>
      <c r="S34" s="326"/>
      <c r="T34" s="327"/>
    </row>
    <row r="35" spans="1:20" x14ac:dyDescent="0.2">
      <c r="A35" s="196"/>
      <c r="B35" s="175"/>
      <c r="C35" s="170"/>
      <c r="D35" s="173"/>
      <c r="E35" s="201"/>
      <c r="F35" s="170"/>
      <c r="G35" s="202"/>
      <c r="H35" s="170"/>
      <c r="I35" s="202"/>
      <c r="J35" s="170"/>
      <c r="K35" s="204"/>
      <c r="L35" s="200"/>
      <c r="M35" s="200"/>
      <c r="N35" s="200"/>
      <c r="O35" s="200"/>
      <c r="P35" s="200"/>
      <c r="Q35" s="200"/>
      <c r="R35" s="325"/>
      <c r="S35" s="326"/>
      <c r="T35" s="327"/>
    </row>
    <row r="36" spans="1:20" x14ac:dyDescent="0.2">
      <c r="A36" s="196"/>
      <c r="B36" s="175"/>
      <c r="C36" s="170"/>
      <c r="D36" s="173"/>
      <c r="E36" s="201"/>
      <c r="F36" s="170"/>
      <c r="G36" s="202"/>
      <c r="H36" s="170"/>
      <c r="I36" s="202"/>
      <c r="J36" s="170"/>
      <c r="K36" s="204"/>
      <c r="L36" s="200"/>
      <c r="M36" s="200"/>
      <c r="N36" s="200"/>
      <c r="O36" s="200"/>
      <c r="P36" s="200"/>
      <c r="Q36" s="200"/>
      <c r="R36" s="325"/>
      <c r="S36" s="326"/>
      <c r="T36" s="327"/>
    </row>
    <row r="37" spans="1:20" x14ac:dyDescent="0.2">
      <c r="A37" s="196"/>
      <c r="B37" s="175"/>
      <c r="C37" s="170"/>
      <c r="D37" s="173"/>
      <c r="E37" s="201"/>
      <c r="F37" s="170"/>
      <c r="G37" s="202"/>
      <c r="H37" s="170"/>
      <c r="I37" s="202"/>
      <c r="J37" s="170"/>
      <c r="K37" s="204"/>
      <c r="L37" s="200"/>
      <c r="M37" s="200"/>
      <c r="N37" s="200"/>
      <c r="O37" s="200"/>
      <c r="P37" s="200"/>
      <c r="Q37" s="200"/>
      <c r="R37" s="325"/>
      <c r="S37" s="326"/>
      <c r="T37" s="327"/>
    </row>
    <row r="38" spans="1:20" x14ac:dyDescent="0.2">
      <c r="A38" s="196"/>
      <c r="B38" s="175"/>
      <c r="C38" s="170"/>
      <c r="D38" s="173"/>
      <c r="E38" s="201"/>
      <c r="F38" s="170"/>
      <c r="G38" s="202"/>
      <c r="H38" s="170"/>
      <c r="I38" s="202"/>
      <c r="J38" s="170"/>
      <c r="K38" s="204"/>
      <c r="L38" s="200"/>
      <c r="M38" s="200"/>
      <c r="N38" s="200"/>
      <c r="O38" s="200"/>
      <c r="P38" s="200"/>
      <c r="Q38" s="200"/>
      <c r="R38" s="325"/>
      <c r="S38" s="326"/>
      <c r="T38" s="327"/>
    </row>
    <row r="39" spans="1:20" x14ac:dyDescent="0.2">
      <c r="A39" s="196"/>
      <c r="B39" s="175"/>
      <c r="C39" s="170"/>
      <c r="D39" s="173"/>
      <c r="E39" s="201"/>
      <c r="F39" s="170"/>
      <c r="G39" s="202"/>
      <c r="H39" s="170"/>
      <c r="I39" s="202"/>
      <c r="J39" s="170"/>
      <c r="K39" s="204"/>
      <c r="L39" s="200"/>
      <c r="M39" s="200"/>
      <c r="N39" s="200"/>
      <c r="O39" s="200"/>
      <c r="P39" s="200"/>
      <c r="Q39" s="200"/>
      <c r="R39" s="325"/>
      <c r="S39" s="326"/>
      <c r="T39" s="327"/>
    </row>
    <row r="40" spans="1:20" x14ac:dyDescent="0.2">
      <c r="A40" s="196"/>
      <c r="B40" s="175"/>
      <c r="C40" s="170"/>
      <c r="D40" s="173"/>
      <c r="E40" s="201"/>
      <c r="F40" s="170"/>
      <c r="G40" s="202"/>
      <c r="H40" s="170"/>
      <c r="I40" s="202"/>
      <c r="J40" s="170"/>
      <c r="K40" s="204"/>
      <c r="L40" s="200"/>
      <c r="M40" s="200"/>
      <c r="N40" s="200"/>
      <c r="O40" s="200"/>
      <c r="P40" s="200"/>
      <c r="Q40" s="200"/>
      <c r="R40" s="325"/>
      <c r="S40" s="326"/>
      <c r="T40" s="327"/>
    </row>
    <row r="41" spans="1:20" x14ac:dyDescent="0.2">
      <c r="A41" s="196"/>
      <c r="B41" s="175"/>
      <c r="C41" s="170"/>
      <c r="D41" s="173"/>
      <c r="E41" s="201"/>
      <c r="F41" s="170"/>
      <c r="G41" s="202"/>
      <c r="H41" s="170"/>
      <c r="I41" s="202"/>
      <c r="J41" s="170"/>
      <c r="K41" s="204"/>
      <c r="L41" s="200"/>
      <c r="M41" s="200"/>
      <c r="N41" s="200"/>
      <c r="O41" s="200"/>
      <c r="P41" s="200"/>
      <c r="Q41" s="200"/>
      <c r="R41" s="325"/>
      <c r="S41" s="326"/>
      <c r="T41" s="327"/>
    </row>
    <row r="42" spans="1:20" x14ac:dyDescent="0.2">
      <c r="A42" s="196"/>
      <c r="B42" s="175"/>
      <c r="C42" s="170"/>
      <c r="D42" s="173"/>
      <c r="E42" s="201"/>
      <c r="F42" s="170"/>
      <c r="G42" s="202"/>
      <c r="H42" s="170"/>
      <c r="I42" s="202"/>
      <c r="J42" s="170"/>
      <c r="K42" s="204"/>
      <c r="L42" s="200"/>
      <c r="M42" s="200"/>
      <c r="N42" s="200"/>
      <c r="O42" s="200"/>
      <c r="P42" s="200"/>
      <c r="Q42" s="200"/>
      <c r="R42" s="325"/>
      <c r="S42" s="326"/>
      <c r="T42" s="327"/>
    </row>
    <row r="43" spans="1:20" x14ac:dyDescent="0.2">
      <c r="A43" s="196"/>
      <c r="B43" s="175"/>
      <c r="C43" s="170"/>
      <c r="D43" s="173"/>
      <c r="E43" s="201"/>
      <c r="F43" s="170"/>
      <c r="G43" s="202"/>
      <c r="H43" s="170"/>
      <c r="I43" s="202"/>
      <c r="J43" s="170"/>
      <c r="K43" s="204"/>
      <c r="L43" s="200"/>
      <c r="M43" s="200"/>
      <c r="N43" s="200"/>
      <c r="O43" s="200"/>
      <c r="P43" s="200"/>
      <c r="Q43" s="200"/>
      <c r="R43" s="325"/>
      <c r="S43" s="326"/>
      <c r="T43" s="327"/>
    </row>
    <row r="44" spans="1:20" x14ac:dyDescent="0.2">
      <c r="A44" s="196"/>
      <c r="B44" s="175"/>
      <c r="C44" s="170"/>
      <c r="D44" s="173"/>
      <c r="E44" s="201"/>
      <c r="F44" s="170"/>
      <c r="G44" s="202"/>
      <c r="H44" s="170"/>
      <c r="I44" s="202"/>
      <c r="J44" s="170"/>
      <c r="K44" s="204"/>
      <c r="L44" s="200"/>
      <c r="M44" s="200"/>
      <c r="N44" s="200"/>
      <c r="O44" s="200"/>
      <c r="P44" s="200"/>
      <c r="Q44" s="200"/>
      <c r="R44" s="325"/>
      <c r="S44" s="326"/>
      <c r="T44" s="327"/>
    </row>
    <row r="45" spans="1:20" x14ac:dyDescent="0.2">
      <c r="A45" s="196"/>
      <c r="B45" s="175"/>
      <c r="C45" s="170"/>
      <c r="D45" s="173"/>
      <c r="E45" s="201"/>
      <c r="F45" s="170"/>
      <c r="G45" s="202"/>
      <c r="H45" s="170"/>
      <c r="I45" s="202"/>
      <c r="J45" s="170"/>
      <c r="K45" s="204"/>
      <c r="L45" s="200"/>
      <c r="M45" s="200"/>
      <c r="N45" s="200"/>
      <c r="O45" s="200"/>
      <c r="P45" s="200"/>
      <c r="Q45" s="200"/>
      <c r="R45" s="325"/>
      <c r="S45" s="326"/>
      <c r="T45" s="327"/>
    </row>
    <row r="46" spans="1:20" x14ac:dyDescent="0.2">
      <c r="A46" s="196"/>
      <c r="B46" s="175"/>
      <c r="C46" s="170"/>
      <c r="D46" s="173"/>
      <c r="E46" s="201"/>
      <c r="F46" s="170"/>
      <c r="G46" s="202"/>
      <c r="H46" s="170"/>
      <c r="I46" s="202"/>
      <c r="J46" s="170"/>
      <c r="K46" s="204"/>
      <c r="L46" s="200"/>
      <c r="M46" s="200"/>
      <c r="N46" s="200"/>
      <c r="O46" s="200"/>
      <c r="P46" s="200"/>
      <c r="Q46" s="200"/>
      <c r="R46" s="325"/>
      <c r="S46" s="326"/>
      <c r="T46" s="327"/>
    </row>
    <row r="47" spans="1:20" x14ac:dyDescent="0.2">
      <c r="A47" s="196"/>
      <c r="B47" s="175"/>
      <c r="C47" s="170"/>
      <c r="D47" s="173"/>
      <c r="E47" s="201"/>
      <c r="F47" s="170"/>
      <c r="G47" s="202"/>
      <c r="H47" s="170"/>
      <c r="I47" s="202"/>
      <c r="J47" s="170"/>
      <c r="K47" s="204"/>
      <c r="L47" s="200"/>
      <c r="M47" s="200"/>
      <c r="N47" s="200"/>
      <c r="O47" s="200"/>
      <c r="P47" s="200"/>
      <c r="Q47" s="200"/>
      <c r="R47" s="325"/>
      <c r="S47" s="326"/>
      <c r="T47" s="327"/>
    </row>
    <row r="48" spans="1:20" x14ac:dyDescent="0.2">
      <c r="A48" s="196"/>
      <c r="B48" s="175"/>
      <c r="C48" s="170"/>
      <c r="D48" s="173"/>
      <c r="E48" s="201"/>
      <c r="F48" s="170"/>
      <c r="G48" s="202"/>
      <c r="H48" s="170"/>
      <c r="I48" s="202"/>
      <c r="J48" s="170"/>
      <c r="K48" s="204"/>
      <c r="L48" s="200"/>
      <c r="M48" s="200"/>
      <c r="N48" s="200"/>
      <c r="O48" s="200"/>
      <c r="P48" s="200"/>
      <c r="Q48" s="200"/>
      <c r="R48" s="325"/>
      <c r="S48" s="326"/>
      <c r="T48" s="327"/>
    </row>
    <row r="49" spans="1:24" x14ac:dyDescent="0.2">
      <c r="A49" s="196"/>
      <c r="B49" s="175"/>
      <c r="C49" s="170"/>
      <c r="D49" s="173"/>
      <c r="E49" s="201"/>
      <c r="F49" s="170"/>
      <c r="G49" s="202"/>
      <c r="H49" s="170"/>
      <c r="I49" s="202"/>
      <c r="J49" s="170"/>
      <c r="K49" s="204"/>
      <c r="L49" s="200"/>
      <c r="M49" s="200"/>
      <c r="N49" s="200"/>
      <c r="O49" s="200"/>
      <c r="P49" s="200"/>
      <c r="Q49" s="200"/>
      <c r="R49" s="325"/>
      <c r="S49" s="326"/>
      <c r="T49" s="327"/>
    </row>
    <row r="50" spans="1:24" ht="12" thickBot="1" x14ac:dyDescent="0.25">
      <c r="A50" s="205"/>
      <c r="B50" s="206"/>
      <c r="C50" s="207"/>
      <c r="D50" s="208"/>
      <c r="E50" s="209"/>
      <c r="F50" s="207"/>
      <c r="G50" s="210"/>
      <c r="H50" s="207"/>
      <c r="I50" s="210"/>
      <c r="J50" s="207"/>
      <c r="K50" s="207"/>
      <c r="L50" s="211"/>
      <c r="M50" s="211"/>
      <c r="N50" s="211"/>
      <c r="O50" s="211"/>
      <c r="P50" s="211"/>
      <c r="Q50" s="211"/>
      <c r="R50" s="331"/>
      <c r="S50" s="332"/>
      <c r="T50" s="333"/>
    </row>
    <row r="51" spans="1:24" x14ac:dyDescent="0.2">
      <c r="E51" s="212"/>
      <c r="F51" s="212"/>
      <c r="I51" s="213"/>
      <c r="J51" s="213"/>
      <c r="L51" s="212"/>
      <c r="M51" s="212"/>
      <c r="N51" s="212"/>
      <c r="O51" s="212"/>
      <c r="P51" s="212"/>
      <c r="Q51" s="212"/>
      <c r="R51" s="212"/>
      <c r="S51" s="212"/>
      <c r="T51" s="214"/>
      <c r="U51" s="213"/>
      <c r="V51" s="213"/>
      <c r="W51" s="129">
        <v>1</v>
      </c>
      <c r="X51" s="214"/>
    </row>
  </sheetData>
  <sheetProtection password="81C6" sheet="1" objects="1" scenarios="1" selectLockedCells="1"/>
  <mergeCells count="18">
    <mergeCell ref="A1:A4"/>
    <mergeCell ref="A7:A8"/>
    <mergeCell ref="R1:T4"/>
    <mergeCell ref="J7:J8"/>
    <mergeCell ref="K7:K8"/>
    <mergeCell ref="R7:T8"/>
    <mergeCell ref="B1:Q1"/>
    <mergeCell ref="B7:B8"/>
    <mergeCell ref="C7:C8"/>
    <mergeCell ref="D7:D8"/>
    <mergeCell ref="E7:E8"/>
    <mergeCell ref="F7:F8"/>
    <mergeCell ref="G7:G8"/>
    <mergeCell ref="H7:H8"/>
    <mergeCell ref="I7:I8"/>
    <mergeCell ref="P2:Q2"/>
    <mergeCell ref="P3:Q3"/>
    <mergeCell ref="P4:Q4"/>
  </mergeCells>
  <printOptions horizontalCentered="1" verticalCentered="1"/>
  <pageMargins left="0.11811023622047245" right="0.11811023622047245" top="0.9055118110236221" bottom="0.27" header="0.11811023622047245" footer="0.11811023622047245"/>
  <pageSetup paperSize="9" scale="95" fitToHeight="0" orientation="landscape" r:id="rId1"/>
  <headerFooter>
    <oddFooter>&amp;L&amp;8&amp;F/&amp;A&amp;R&amp;8&amp;D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1D6E-BE0F-47A1-AA22-52E0F38110F0}">
  <sheetPr codeName="Sheet09"/>
  <dimension ref="A1:Y11"/>
  <sheetViews>
    <sheetView workbookViewId="0">
      <selection activeCell="N10" sqref="N10"/>
    </sheetView>
  </sheetViews>
  <sheetFormatPr defaultColWidth="6.7109375" defaultRowHeight="11.25" x14ac:dyDescent="0.2"/>
  <cols>
    <col min="1" max="1" width="1.7109375" style="321" customWidth="1"/>
    <col min="2" max="3" width="13.28515625" style="321" customWidth="1"/>
    <col min="4" max="10" width="6.7109375" style="321"/>
    <col min="11" max="11" width="6.7109375" style="324"/>
    <col min="12" max="12" width="9" style="321" bestFit="1" customWidth="1"/>
    <col min="13" max="21" width="6.7109375" style="321"/>
    <col min="22" max="22" width="9" style="321" bestFit="1" customWidth="1"/>
    <col min="23" max="16384" width="6.7109375" style="321"/>
  </cols>
  <sheetData>
    <row r="1" spans="1:25" x14ac:dyDescent="0.2">
      <c r="A1" s="311" t="s">
        <v>292</v>
      </c>
      <c r="B1" s="318"/>
      <c r="C1" s="31">
        <f>COUNTIF(B:B,"&lt;&gt;")+2</f>
        <v>5</v>
      </c>
      <c r="D1" s="318" t="s">
        <v>318</v>
      </c>
      <c r="E1" s="318"/>
      <c r="F1" s="318"/>
      <c r="G1" s="31"/>
      <c r="H1" s="31"/>
      <c r="I1" s="31"/>
      <c r="J1" s="55"/>
      <c r="K1" s="312" t="s">
        <v>298</v>
      </c>
      <c r="L1" s="31" t="s">
        <v>299</v>
      </c>
      <c r="M1" s="31" t="s">
        <v>308</v>
      </c>
      <c r="N1" s="31" t="s">
        <v>300</v>
      </c>
      <c r="P1" s="31">
        <f>COUNTIF(K:K,"&lt;&gt;")</f>
        <v>9</v>
      </c>
      <c r="Q1" s="321" t="s">
        <v>319</v>
      </c>
      <c r="Y1" s="31"/>
    </row>
    <row r="2" spans="1:25" x14ac:dyDescent="0.2">
      <c r="A2" s="313"/>
      <c r="B2" s="319" t="s">
        <v>294</v>
      </c>
      <c r="C2" s="319" t="s">
        <v>293</v>
      </c>
      <c r="D2" s="319" t="s">
        <v>295</v>
      </c>
      <c r="E2" s="319" t="s">
        <v>296</v>
      </c>
      <c r="F2" s="319" t="s">
        <v>297</v>
      </c>
      <c r="G2" s="313"/>
      <c r="H2" s="313"/>
      <c r="I2" s="313"/>
      <c r="J2" s="314"/>
      <c r="K2" s="315" t="s">
        <v>306</v>
      </c>
      <c r="L2" s="322">
        <v>36496</v>
      </c>
      <c r="M2" s="313" t="s">
        <v>309</v>
      </c>
      <c r="N2" s="313" t="s">
        <v>312</v>
      </c>
    </row>
    <row r="3" spans="1:25" x14ac:dyDescent="0.2">
      <c r="A3" s="31"/>
      <c r="B3" s="318" t="s">
        <v>330</v>
      </c>
      <c r="C3" s="318" t="s">
        <v>331</v>
      </c>
      <c r="D3" s="318" t="b">
        <v>1</v>
      </c>
      <c r="E3" s="318" t="b">
        <v>1</v>
      </c>
      <c r="F3" s="318" t="b">
        <v>1</v>
      </c>
      <c r="G3" s="31"/>
      <c r="H3" s="31"/>
      <c r="I3" s="31"/>
      <c r="J3" s="316"/>
      <c r="K3" s="312" t="s">
        <v>307</v>
      </c>
      <c r="L3" s="317">
        <v>41925</v>
      </c>
      <c r="M3" s="317" t="s">
        <v>309</v>
      </c>
      <c r="N3" s="31" t="s">
        <v>313</v>
      </c>
    </row>
    <row r="4" spans="1:25" x14ac:dyDescent="0.2">
      <c r="A4" s="31"/>
      <c r="B4" s="318" t="s">
        <v>336</v>
      </c>
      <c r="C4" s="318" t="s">
        <v>337</v>
      </c>
      <c r="D4" s="318" t="b">
        <v>1</v>
      </c>
      <c r="E4" s="318" t="b">
        <v>1</v>
      </c>
      <c r="F4" s="318" t="b">
        <v>1</v>
      </c>
      <c r="G4" s="31"/>
      <c r="H4" s="31"/>
      <c r="I4" s="316"/>
      <c r="J4" s="31"/>
      <c r="K4" s="312" t="s">
        <v>302</v>
      </c>
      <c r="L4" s="317">
        <v>42010</v>
      </c>
      <c r="M4" s="31" t="s">
        <v>310</v>
      </c>
      <c r="N4" s="31" t="s">
        <v>314</v>
      </c>
    </row>
    <row r="5" spans="1:25" x14ac:dyDescent="0.2">
      <c r="A5" s="31"/>
      <c r="B5" s="318"/>
      <c r="C5" s="318"/>
      <c r="D5" s="318"/>
      <c r="E5" s="318"/>
      <c r="F5" s="318"/>
      <c r="G5" s="31"/>
      <c r="H5" s="31"/>
      <c r="I5" s="316"/>
      <c r="J5" s="31"/>
      <c r="K5" s="312" t="s">
        <v>303</v>
      </c>
      <c r="L5" s="317" t="s">
        <v>301</v>
      </c>
      <c r="M5" s="31" t="s">
        <v>310</v>
      </c>
      <c r="N5" s="31" t="s">
        <v>315</v>
      </c>
    </row>
    <row r="6" spans="1:25" x14ac:dyDescent="0.2">
      <c r="A6" s="31"/>
      <c r="B6" s="318"/>
      <c r="C6" s="318"/>
      <c r="D6" s="318"/>
      <c r="E6" s="318"/>
      <c r="F6" s="318"/>
      <c r="G6" s="31"/>
      <c r="H6" s="31"/>
      <c r="I6" s="316"/>
      <c r="J6" s="31"/>
      <c r="K6" s="312" t="s">
        <v>324</v>
      </c>
      <c r="L6" s="317">
        <v>42535</v>
      </c>
      <c r="M6" s="31" t="s">
        <v>310</v>
      </c>
      <c r="N6" s="31" t="s">
        <v>316</v>
      </c>
    </row>
    <row r="7" spans="1:25" x14ac:dyDescent="0.2">
      <c r="A7" s="31"/>
      <c r="B7" s="318"/>
      <c r="C7" s="318"/>
      <c r="D7" s="318"/>
      <c r="E7" s="318"/>
      <c r="F7" s="318"/>
      <c r="G7" s="31"/>
      <c r="H7" s="31"/>
      <c r="I7" s="316"/>
      <c r="J7" s="31"/>
      <c r="K7" s="312" t="s">
        <v>325</v>
      </c>
      <c r="L7" s="317">
        <v>43972</v>
      </c>
      <c r="M7" s="31" t="s">
        <v>309</v>
      </c>
      <c r="N7" s="31" t="s">
        <v>317</v>
      </c>
      <c r="U7" s="312" t="s">
        <v>326</v>
      </c>
      <c r="V7" s="317">
        <v>44005</v>
      </c>
      <c r="W7" s="31" t="s">
        <v>309</v>
      </c>
      <c r="X7" s="31" t="s">
        <v>304</v>
      </c>
    </row>
    <row r="8" spans="1:25" x14ac:dyDescent="0.2">
      <c r="A8" s="31"/>
      <c r="B8" s="318"/>
      <c r="C8" s="318"/>
      <c r="D8" s="318"/>
      <c r="E8" s="318"/>
      <c r="F8" s="318"/>
      <c r="G8" s="31"/>
      <c r="H8" s="31"/>
      <c r="I8" s="31"/>
      <c r="J8" s="55"/>
      <c r="K8" s="324" t="s">
        <v>323</v>
      </c>
      <c r="L8" s="323">
        <v>44027</v>
      </c>
      <c r="M8" s="321" t="s">
        <v>309</v>
      </c>
      <c r="N8" s="31" t="s">
        <v>329</v>
      </c>
      <c r="U8" s="312" t="s">
        <v>327</v>
      </c>
      <c r="V8" s="317">
        <v>44015</v>
      </c>
      <c r="W8" s="31" t="s">
        <v>309</v>
      </c>
      <c r="X8" s="31" t="s">
        <v>305</v>
      </c>
    </row>
    <row r="9" spans="1:25" x14ac:dyDescent="0.2">
      <c r="A9" s="31"/>
      <c r="B9" s="318"/>
      <c r="C9" s="318"/>
      <c r="D9" s="318"/>
      <c r="E9" s="318"/>
      <c r="F9" s="318"/>
      <c r="G9" s="31"/>
      <c r="H9" s="31"/>
      <c r="I9" s="31"/>
      <c r="J9" s="55"/>
      <c r="K9" s="312" t="s">
        <v>334</v>
      </c>
      <c r="L9" s="317">
        <v>44725</v>
      </c>
      <c r="M9" s="31" t="s">
        <v>309</v>
      </c>
      <c r="N9" s="31" t="s">
        <v>335</v>
      </c>
      <c r="U9" s="324" t="s">
        <v>328</v>
      </c>
      <c r="V9" s="323">
        <v>44025</v>
      </c>
      <c r="W9" s="321" t="s">
        <v>309</v>
      </c>
      <c r="X9" s="321" t="s">
        <v>322</v>
      </c>
    </row>
    <row r="10" spans="1:25" x14ac:dyDescent="0.2">
      <c r="L10" s="323"/>
    </row>
    <row r="11" spans="1:25" x14ac:dyDescent="0.2">
      <c r="L11" s="32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028E0-595A-4072-AA8E-C1F88EF1331F}">
  <sheetPr codeName="Sheet03"/>
  <dimension ref="A1:V47"/>
  <sheetViews>
    <sheetView zoomScaleNormal="100" zoomScaleSheetLayoutView="100" workbookViewId="0">
      <selection activeCell="L14" sqref="L14"/>
    </sheetView>
  </sheetViews>
  <sheetFormatPr defaultColWidth="9.140625" defaultRowHeight="15" x14ac:dyDescent="0.25"/>
  <cols>
    <col min="1" max="1" width="9.140625" style="30"/>
    <col min="2" max="20" width="9.140625" style="4"/>
    <col min="21" max="21" width="9.140625" style="3" customWidth="1"/>
    <col min="22" max="22" width="9.140625" style="4" customWidth="1"/>
    <col min="23" max="16384" width="9.140625" style="3"/>
  </cols>
  <sheetData>
    <row r="1" spans="1:22" x14ac:dyDescent="0.25">
      <c r="A1" s="1"/>
      <c r="B1" s="2"/>
      <c r="C1" s="554" t="s">
        <v>0</v>
      </c>
      <c r="D1" s="554"/>
      <c r="E1" s="554"/>
      <c r="F1" s="554"/>
      <c r="G1" s="554"/>
      <c r="H1" s="554"/>
      <c r="I1" s="554"/>
      <c r="J1" s="554"/>
      <c r="K1" s="554"/>
      <c r="L1" s="554"/>
      <c r="M1" s="554"/>
      <c r="N1" s="554"/>
      <c r="O1" s="554"/>
      <c r="P1" s="554"/>
      <c r="Q1" s="554"/>
      <c r="R1" s="554"/>
      <c r="S1" s="554"/>
      <c r="T1" s="555"/>
    </row>
    <row r="2" spans="1:22" x14ac:dyDescent="0.25">
      <c r="A2" s="5" t="s">
        <v>1</v>
      </c>
      <c r="B2" s="6" t="s">
        <v>2</v>
      </c>
      <c r="C2" s="7">
        <v>5</v>
      </c>
      <c r="D2" s="7" t="s">
        <v>3</v>
      </c>
      <c r="E2" s="7">
        <v>10</v>
      </c>
      <c r="F2" s="7" t="s">
        <v>4</v>
      </c>
      <c r="G2" s="7">
        <v>20</v>
      </c>
      <c r="H2" s="7">
        <v>30</v>
      </c>
      <c r="I2" s="7" t="s">
        <v>5</v>
      </c>
      <c r="J2" s="7" t="s">
        <v>6</v>
      </c>
      <c r="K2" s="7">
        <v>40</v>
      </c>
      <c r="L2" s="7">
        <v>60</v>
      </c>
      <c r="M2" s="7" t="s">
        <v>7</v>
      </c>
      <c r="N2" s="7" t="s">
        <v>8</v>
      </c>
      <c r="O2" s="7">
        <v>80</v>
      </c>
      <c r="P2" s="7">
        <v>100</v>
      </c>
      <c r="Q2" s="7">
        <v>120</v>
      </c>
      <c r="R2" s="7">
        <v>140</v>
      </c>
      <c r="S2" s="7">
        <v>160</v>
      </c>
      <c r="T2" s="8" t="s">
        <v>9</v>
      </c>
    </row>
    <row r="3" spans="1:22" s="17" customFormat="1" ht="14.25" x14ac:dyDescent="0.2">
      <c r="A3" s="9" t="s">
        <v>10</v>
      </c>
      <c r="B3" s="10">
        <v>0.125</v>
      </c>
      <c r="C3" s="11">
        <v>0.40500000000000003</v>
      </c>
      <c r="D3" s="12"/>
      <c r="E3" s="12"/>
      <c r="F3" s="13">
        <v>4.9000000000000002E-2</v>
      </c>
      <c r="G3" s="12"/>
      <c r="H3" s="12"/>
      <c r="I3" s="13">
        <v>6.8000000000000005E-2</v>
      </c>
      <c r="J3" s="13">
        <v>6.8000000000000005E-2</v>
      </c>
      <c r="K3" s="13">
        <v>6.8000000000000005E-2</v>
      </c>
      <c r="L3" s="12"/>
      <c r="M3" s="13">
        <v>9.5000000000000001E-2</v>
      </c>
      <c r="N3" s="13">
        <v>9.5000000000000001E-2</v>
      </c>
      <c r="O3" s="13">
        <v>9.5000000000000001E-2</v>
      </c>
      <c r="P3" s="12"/>
      <c r="Q3" s="14"/>
      <c r="R3" s="14"/>
      <c r="S3" s="14"/>
      <c r="T3" s="14"/>
      <c r="U3" s="15" t="s">
        <v>11</v>
      </c>
      <c r="V3" s="16" t="s">
        <v>12</v>
      </c>
    </row>
    <row r="4" spans="1:22" s="17" customFormat="1" ht="14.25" x14ac:dyDescent="0.2">
      <c r="A4" s="18" t="s">
        <v>13</v>
      </c>
      <c r="B4" s="19">
        <v>0.25</v>
      </c>
      <c r="C4" s="20">
        <v>0.54</v>
      </c>
      <c r="D4" s="21"/>
      <c r="E4" s="21"/>
      <c r="F4" s="22">
        <v>6.5000000000000002E-2</v>
      </c>
      <c r="G4" s="21"/>
      <c r="H4" s="21"/>
      <c r="I4" s="22">
        <v>8.7999999999999995E-2</v>
      </c>
      <c r="J4" s="22">
        <v>8.7999999999999995E-2</v>
      </c>
      <c r="K4" s="22">
        <v>8.7999999999999995E-2</v>
      </c>
      <c r="L4" s="21"/>
      <c r="M4" s="22">
        <v>0.11899999999999999</v>
      </c>
      <c r="N4" s="22">
        <v>0.11899999999999999</v>
      </c>
      <c r="O4" s="22">
        <v>0.11899999999999999</v>
      </c>
      <c r="P4" s="21"/>
      <c r="Q4" s="23"/>
      <c r="R4" s="23"/>
      <c r="S4" s="23"/>
      <c r="T4" s="23"/>
      <c r="U4" s="24" t="s">
        <v>3</v>
      </c>
      <c r="V4" s="25" t="s">
        <v>14</v>
      </c>
    </row>
    <row r="5" spans="1:22" s="17" customFormat="1" ht="14.25" x14ac:dyDescent="0.2">
      <c r="A5" s="18" t="s">
        <v>15</v>
      </c>
      <c r="B5" s="19">
        <v>0.375</v>
      </c>
      <c r="C5" s="20">
        <v>0.67500000000000004</v>
      </c>
      <c r="D5" s="21"/>
      <c r="E5" s="21"/>
      <c r="F5" s="22">
        <v>6.5000000000000002E-2</v>
      </c>
      <c r="G5" s="21"/>
      <c r="H5" s="21"/>
      <c r="I5" s="22">
        <v>9.0999999999999998E-2</v>
      </c>
      <c r="J5" s="22">
        <v>9.0999999999999998E-2</v>
      </c>
      <c r="K5" s="22">
        <v>9.0999999999999998E-2</v>
      </c>
      <c r="L5" s="21"/>
      <c r="M5" s="22">
        <v>0.126</v>
      </c>
      <c r="N5" s="22">
        <v>0.126</v>
      </c>
      <c r="O5" s="22">
        <v>0.126</v>
      </c>
      <c r="P5" s="21"/>
      <c r="Q5" s="23"/>
      <c r="R5" s="23"/>
      <c r="S5" s="23"/>
      <c r="T5" s="23"/>
      <c r="U5" s="24" t="s">
        <v>16</v>
      </c>
      <c r="V5" s="25" t="s">
        <v>17</v>
      </c>
    </row>
    <row r="6" spans="1:22" x14ac:dyDescent="0.25">
      <c r="A6" s="26" t="s">
        <v>18</v>
      </c>
      <c r="B6" s="23">
        <v>0.84</v>
      </c>
      <c r="C6" s="27">
        <v>6.5000000000000002E-2</v>
      </c>
      <c r="D6" s="27">
        <v>6.5000000000000002E-2</v>
      </c>
      <c r="E6" s="27">
        <v>8.3000000000000004E-2</v>
      </c>
      <c r="F6" s="27">
        <v>8.3000000000000004E-2</v>
      </c>
      <c r="G6" s="23"/>
      <c r="H6" s="27">
        <v>9.5000000000000001E-2</v>
      </c>
      <c r="I6" s="27">
        <v>0.10900000000000001</v>
      </c>
      <c r="J6" s="27">
        <v>0.10900000000000001</v>
      </c>
      <c r="K6" s="27">
        <v>0.10900000000000001</v>
      </c>
      <c r="L6" s="23"/>
      <c r="M6" s="27">
        <v>0.14699999999999999</v>
      </c>
      <c r="N6" s="27">
        <v>0.14699999999999999</v>
      </c>
      <c r="O6" s="27">
        <v>0.14699999999999999</v>
      </c>
      <c r="P6" s="23"/>
      <c r="Q6" s="23"/>
      <c r="R6" s="23"/>
      <c r="S6" s="27">
        <v>0.188</v>
      </c>
      <c r="T6" s="27">
        <v>0.29399999999999998</v>
      </c>
      <c r="U6" s="24" t="s">
        <v>4</v>
      </c>
      <c r="V6" s="25" t="s">
        <v>19</v>
      </c>
    </row>
    <row r="7" spans="1:22" x14ac:dyDescent="0.25">
      <c r="A7" s="26" t="s">
        <v>20</v>
      </c>
      <c r="B7" s="23">
        <v>1.05</v>
      </c>
      <c r="C7" s="27">
        <v>6.5000000000000002E-2</v>
      </c>
      <c r="D7" s="27">
        <v>6.5000000000000002E-2</v>
      </c>
      <c r="E7" s="27">
        <v>8.3000000000000004E-2</v>
      </c>
      <c r="F7" s="27">
        <v>8.3000000000000004E-2</v>
      </c>
      <c r="G7" s="23"/>
      <c r="H7" s="27">
        <v>9.5000000000000001E-2</v>
      </c>
      <c r="I7" s="27">
        <v>0.113</v>
      </c>
      <c r="J7" s="27">
        <v>0.113</v>
      </c>
      <c r="K7" s="27">
        <v>0.113</v>
      </c>
      <c r="L7" s="23"/>
      <c r="M7" s="27">
        <v>0.154</v>
      </c>
      <c r="N7" s="27">
        <v>0.154</v>
      </c>
      <c r="O7" s="27">
        <v>0.154</v>
      </c>
      <c r="P7" s="23"/>
      <c r="Q7" s="23"/>
      <c r="R7" s="23"/>
      <c r="S7" s="27">
        <v>0.219</v>
      </c>
      <c r="T7" s="27">
        <v>0.308</v>
      </c>
      <c r="U7" s="24" t="s">
        <v>21</v>
      </c>
    </row>
    <row r="8" spans="1:22" x14ac:dyDescent="0.25">
      <c r="A8" s="26" t="s">
        <v>22</v>
      </c>
      <c r="B8" s="23">
        <v>1.3149999999999999</v>
      </c>
      <c r="C8" s="27">
        <v>6.5000000000000002E-2</v>
      </c>
      <c r="D8" s="27">
        <v>6.5000000000000002E-2</v>
      </c>
      <c r="E8" s="27">
        <v>0.10900000000000001</v>
      </c>
      <c r="F8" s="27">
        <v>0.10900000000000001</v>
      </c>
      <c r="G8" s="23"/>
      <c r="H8" s="27">
        <v>0.114</v>
      </c>
      <c r="I8" s="27">
        <v>0.13300000000000001</v>
      </c>
      <c r="J8" s="27">
        <v>0.13300000000000001</v>
      </c>
      <c r="K8" s="27">
        <v>0.13300000000000001</v>
      </c>
      <c r="L8" s="23"/>
      <c r="M8" s="27">
        <v>0.17899999999999999</v>
      </c>
      <c r="N8" s="27">
        <v>0.17899999999999999</v>
      </c>
      <c r="O8" s="27">
        <v>0.17899999999999999</v>
      </c>
      <c r="P8" s="23"/>
      <c r="Q8" s="23"/>
      <c r="R8" s="23"/>
      <c r="S8" s="27">
        <v>0.25</v>
      </c>
      <c r="T8" s="27">
        <v>0.35799999999999998</v>
      </c>
      <c r="U8" s="24" t="s">
        <v>23</v>
      </c>
    </row>
    <row r="9" spans="1:22" x14ac:dyDescent="0.25">
      <c r="A9" s="26" t="s">
        <v>24</v>
      </c>
      <c r="B9" s="23">
        <v>1.66</v>
      </c>
      <c r="C9" s="27">
        <v>6.5000000000000002E-2</v>
      </c>
      <c r="D9" s="27">
        <v>6.5000000000000002E-2</v>
      </c>
      <c r="E9" s="27">
        <v>0.10900000000000001</v>
      </c>
      <c r="F9" s="27">
        <v>0.10900000000000001</v>
      </c>
      <c r="G9" s="23"/>
      <c r="H9" s="27">
        <v>0.11700000000000001</v>
      </c>
      <c r="I9" s="27">
        <v>0.14000000000000001</v>
      </c>
      <c r="J9" s="27">
        <v>0.14000000000000001</v>
      </c>
      <c r="K9" s="27">
        <v>0.14000000000000001</v>
      </c>
      <c r="L9" s="23"/>
      <c r="M9" s="27">
        <v>0.191</v>
      </c>
      <c r="N9" s="27">
        <v>0.191</v>
      </c>
      <c r="O9" s="27">
        <v>0.191</v>
      </c>
      <c r="P9" s="23"/>
      <c r="Q9" s="23"/>
      <c r="R9" s="23"/>
      <c r="S9" s="27">
        <v>0.25</v>
      </c>
      <c r="T9" s="27">
        <v>0.38200000000000001</v>
      </c>
      <c r="U9" s="24" t="s">
        <v>5</v>
      </c>
    </row>
    <row r="10" spans="1:22" x14ac:dyDescent="0.25">
      <c r="A10" s="26" t="s">
        <v>25</v>
      </c>
      <c r="B10" s="23">
        <v>1.9000000000000001</v>
      </c>
      <c r="C10" s="27">
        <v>6.5000000000000002E-2</v>
      </c>
      <c r="D10" s="27">
        <v>6.5000000000000002E-2</v>
      </c>
      <c r="E10" s="27">
        <v>0.10900000000000001</v>
      </c>
      <c r="F10" s="27">
        <v>0.10900000000000001</v>
      </c>
      <c r="G10" s="23"/>
      <c r="H10" s="27">
        <v>0.125</v>
      </c>
      <c r="I10" s="27">
        <v>0.14499999999999999</v>
      </c>
      <c r="J10" s="27">
        <v>0.14499999999999999</v>
      </c>
      <c r="K10" s="27">
        <v>0.14499999999999999</v>
      </c>
      <c r="L10" s="23"/>
      <c r="M10" s="27">
        <v>0.2</v>
      </c>
      <c r="N10" s="27">
        <v>0.2</v>
      </c>
      <c r="O10" s="27">
        <v>0.2</v>
      </c>
      <c r="P10" s="23"/>
      <c r="Q10" s="23"/>
      <c r="R10" s="23"/>
      <c r="S10" s="27">
        <v>0.28100000000000003</v>
      </c>
      <c r="T10" s="27">
        <v>0.4</v>
      </c>
      <c r="U10" s="24" t="s">
        <v>6</v>
      </c>
    </row>
    <row r="11" spans="1:22" x14ac:dyDescent="0.25">
      <c r="A11" s="26" t="s">
        <v>26</v>
      </c>
      <c r="B11" s="23">
        <v>2.375</v>
      </c>
      <c r="C11" s="27">
        <v>6.5000000000000002E-2</v>
      </c>
      <c r="D11" s="27">
        <v>6.5000000000000002E-2</v>
      </c>
      <c r="E11" s="27">
        <v>0.10900000000000001</v>
      </c>
      <c r="F11" s="27">
        <v>0.10900000000000001</v>
      </c>
      <c r="G11" s="23"/>
      <c r="H11" s="27">
        <v>0.125</v>
      </c>
      <c r="I11" s="27">
        <v>0.154</v>
      </c>
      <c r="J11" s="27">
        <v>0.154</v>
      </c>
      <c r="K11" s="27">
        <v>0.154</v>
      </c>
      <c r="L11" s="23"/>
      <c r="M11" s="27">
        <v>0.21800000000000003</v>
      </c>
      <c r="N11" s="27">
        <v>0.21800000000000003</v>
      </c>
      <c r="O11" s="27">
        <v>0.21800000000000003</v>
      </c>
      <c r="P11" s="23"/>
      <c r="Q11" s="23"/>
      <c r="R11" s="23"/>
      <c r="S11" s="27">
        <v>0.34399999999999997</v>
      </c>
      <c r="T11" s="27">
        <v>0.436</v>
      </c>
      <c r="U11" s="24" t="s">
        <v>27</v>
      </c>
    </row>
    <row r="12" spans="1:22" x14ac:dyDescent="0.25">
      <c r="A12" s="26" t="s">
        <v>28</v>
      </c>
      <c r="B12" s="23">
        <v>2.875</v>
      </c>
      <c r="C12" s="27">
        <v>8.3000000000000004E-2</v>
      </c>
      <c r="D12" s="27">
        <v>8.3000000000000004E-2</v>
      </c>
      <c r="E12" s="27">
        <v>0.12000000000000001</v>
      </c>
      <c r="F12" s="27">
        <v>0.12000000000000001</v>
      </c>
      <c r="G12" s="23"/>
      <c r="H12" s="27">
        <v>0.188</v>
      </c>
      <c r="I12" s="27">
        <v>0.188</v>
      </c>
      <c r="J12" s="27">
        <v>0.188</v>
      </c>
      <c r="K12" s="27">
        <v>0.188</v>
      </c>
      <c r="L12" s="23"/>
      <c r="M12" s="27">
        <v>0.27600000000000002</v>
      </c>
      <c r="N12" s="27">
        <v>0.27600000000000002</v>
      </c>
      <c r="O12" s="27">
        <v>0.27600000000000002</v>
      </c>
      <c r="P12" s="23"/>
      <c r="Q12" s="23"/>
      <c r="R12" s="23"/>
      <c r="S12" s="27">
        <v>0.37499999999999994</v>
      </c>
      <c r="T12" s="27">
        <v>0.55200000000000005</v>
      </c>
      <c r="U12" s="24" t="s">
        <v>29</v>
      </c>
    </row>
    <row r="13" spans="1:22" x14ac:dyDescent="0.25">
      <c r="A13" s="26" t="s">
        <v>30</v>
      </c>
      <c r="B13" s="23">
        <v>3.5</v>
      </c>
      <c r="C13" s="27">
        <v>8.3000000000000004E-2</v>
      </c>
      <c r="D13" s="27">
        <v>8.3000000000000004E-2</v>
      </c>
      <c r="E13" s="27">
        <v>0.12000000000000001</v>
      </c>
      <c r="F13" s="27">
        <v>0.12000000000000001</v>
      </c>
      <c r="G13" s="23"/>
      <c r="H13" s="27">
        <v>0.188</v>
      </c>
      <c r="I13" s="27">
        <v>0.216</v>
      </c>
      <c r="J13" s="27">
        <v>0.216</v>
      </c>
      <c r="K13" s="27">
        <v>0.216</v>
      </c>
      <c r="L13" s="23"/>
      <c r="M13" s="27">
        <v>0.3</v>
      </c>
      <c r="N13" s="27">
        <v>0.3</v>
      </c>
      <c r="O13" s="27">
        <v>0.3</v>
      </c>
      <c r="P13" s="23"/>
      <c r="Q13" s="23"/>
      <c r="R13" s="23"/>
      <c r="S13" s="27">
        <v>0.438</v>
      </c>
      <c r="T13" s="27">
        <v>0.6</v>
      </c>
      <c r="U13" s="24" t="s">
        <v>7</v>
      </c>
    </row>
    <row r="14" spans="1:22" x14ac:dyDescent="0.25">
      <c r="A14" s="26" t="s">
        <v>31</v>
      </c>
      <c r="B14" s="23">
        <v>4</v>
      </c>
      <c r="C14" s="27">
        <v>8.3000000000000004E-2</v>
      </c>
      <c r="D14" s="27">
        <v>8.3000000000000004E-2</v>
      </c>
      <c r="E14" s="27">
        <v>0.12000000000000001</v>
      </c>
      <c r="F14" s="27">
        <v>0.12000000000000001</v>
      </c>
      <c r="G14" s="23"/>
      <c r="H14" s="27">
        <v>0.188</v>
      </c>
      <c r="I14" s="27">
        <v>0.22600000000000001</v>
      </c>
      <c r="J14" s="27">
        <v>0.22600000000000001</v>
      </c>
      <c r="K14" s="27">
        <v>0.22600000000000001</v>
      </c>
      <c r="L14" s="23"/>
      <c r="M14" s="27">
        <v>0.318</v>
      </c>
      <c r="N14" s="27">
        <v>0.318</v>
      </c>
      <c r="O14" s="27">
        <v>0.318</v>
      </c>
      <c r="P14" s="23"/>
      <c r="Q14" s="23"/>
      <c r="R14" s="23"/>
      <c r="S14" s="23"/>
      <c r="T14" s="23"/>
      <c r="U14" s="24" t="s">
        <v>8</v>
      </c>
    </row>
    <row r="15" spans="1:22" x14ac:dyDescent="0.25">
      <c r="A15" s="28" t="s">
        <v>32</v>
      </c>
      <c r="B15" s="23">
        <v>4.5</v>
      </c>
      <c r="C15" s="27">
        <v>8.3000000000000004E-2</v>
      </c>
      <c r="D15" s="27">
        <v>8.3000000000000004E-2</v>
      </c>
      <c r="E15" s="27">
        <v>0.12000000000000001</v>
      </c>
      <c r="F15" s="27">
        <v>0.12000000000000001</v>
      </c>
      <c r="G15" s="23"/>
      <c r="H15" s="27">
        <v>0.188</v>
      </c>
      <c r="I15" s="27">
        <v>0.23699999999999999</v>
      </c>
      <c r="J15" s="27">
        <v>0.23699999999999999</v>
      </c>
      <c r="K15" s="27">
        <v>0.23699999999999999</v>
      </c>
      <c r="L15" s="23"/>
      <c r="M15" s="27">
        <v>0.33699999999999997</v>
      </c>
      <c r="N15" s="27">
        <v>0.33699999999999997</v>
      </c>
      <c r="O15" s="27">
        <v>0.33699999999999997</v>
      </c>
      <c r="P15" s="23"/>
      <c r="Q15" s="27">
        <v>0.438</v>
      </c>
      <c r="R15" s="23"/>
      <c r="S15" s="27">
        <v>0.53100000000000003</v>
      </c>
      <c r="T15" s="27">
        <v>0.67399999999999993</v>
      </c>
      <c r="U15" s="24" t="s">
        <v>33</v>
      </c>
    </row>
    <row r="16" spans="1:22" x14ac:dyDescent="0.25">
      <c r="A16" s="28" t="s">
        <v>34</v>
      </c>
      <c r="B16" s="23">
        <v>5</v>
      </c>
      <c r="C16" s="27">
        <v>0.10900000000000001</v>
      </c>
      <c r="D16" s="27">
        <v>0.10900000000000001</v>
      </c>
      <c r="E16" s="27">
        <v>0.13400000000000001</v>
      </c>
      <c r="F16" s="27">
        <v>0.13400000000000001</v>
      </c>
      <c r="G16" s="23"/>
      <c r="H16" s="23"/>
      <c r="I16" s="27">
        <v>0.25800000000000001</v>
      </c>
      <c r="J16" s="27">
        <v>0.25800000000000001</v>
      </c>
      <c r="K16" s="27">
        <v>0.25800000000000001</v>
      </c>
      <c r="L16" s="23"/>
      <c r="M16" s="27">
        <v>0.37500000000000006</v>
      </c>
      <c r="N16" s="27">
        <v>0.37500000000000006</v>
      </c>
      <c r="O16" s="27">
        <v>0.37500000000000006</v>
      </c>
      <c r="P16" s="23"/>
      <c r="Q16" s="27">
        <v>0.5</v>
      </c>
      <c r="R16" s="23"/>
      <c r="S16" s="27">
        <v>0.625</v>
      </c>
      <c r="T16" s="27">
        <v>0.75000000000000011</v>
      </c>
      <c r="U16" s="24" t="s">
        <v>35</v>
      </c>
    </row>
    <row r="17" spans="1:21" x14ac:dyDescent="0.25">
      <c r="A17" s="28" t="s">
        <v>36</v>
      </c>
      <c r="B17" s="23">
        <v>6.6249999999999991</v>
      </c>
      <c r="C17" s="27">
        <v>0.10900000000000001</v>
      </c>
      <c r="D17" s="27">
        <v>0.10900000000000001</v>
      </c>
      <c r="E17" s="27">
        <v>0.13400000000000001</v>
      </c>
      <c r="F17" s="27">
        <v>0.13400000000000001</v>
      </c>
      <c r="G17" s="23"/>
      <c r="H17" s="23"/>
      <c r="I17" s="27">
        <v>0.28000000000000003</v>
      </c>
      <c r="J17" s="27">
        <v>0.28000000000000003</v>
      </c>
      <c r="K17" s="27">
        <v>0.28000000000000003</v>
      </c>
      <c r="L17" s="23"/>
      <c r="M17" s="27">
        <v>0.432</v>
      </c>
      <c r="N17" s="27">
        <v>0.432</v>
      </c>
      <c r="O17" s="27">
        <v>0.432</v>
      </c>
      <c r="P17" s="23"/>
      <c r="Q17" s="27">
        <v>0.56200000000000006</v>
      </c>
      <c r="R17" s="23"/>
      <c r="S17" s="27">
        <v>0.71899999999999997</v>
      </c>
      <c r="T17" s="27">
        <v>0.86399999999999999</v>
      </c>
      <c r="U17" s="24" t="s">
        <v>37</v>
      </c>
    </row>
    <row r="18" spans="1:21" x14ac:dyDescent="0.25">
      <c r="A18" s="28" t="s">
        <v>38</v>
      </c>
      <c r="B18" s="23">
        <v>8.625</v>
      </c>
      <c r="C18" s="27">
        <v>0.10900000000000001</v>
      </c>
      <c r="D18" s="27">
        <v>0.10900000000000001</v>
      </c>
      <c r="E18" s="27">
        <v>0.14799999999999999</v>
      </c>
      <c r="F18" s="27">
        <v>0.14799999999999999</v>
      </c>
      <c r="G18" s="27">
        <v>0.25</v>
      </c>
      <c r="H18" s="27">
        <v>0.27700000000000002</v>
      </c>
      <c r="I18" s="27">
        <v>0.32199999999999995</v>
      </c>
      <c r="J18" s="27">
        <v>0.32199999999999995</v>
      </c>
      <c r="K18" s="27">
        <v>0.32199999999999995</v>
      </c>
      <c r="L18" s="27">
        <v>0.40600000000000003</v>
      </c>
      <c r="M18" s="27">
        <f t="shared" ref="M18:N38" si="0">12.7/25.4</f>
        <v>0.5</v>
      </c>
      <c r="N18" s="27">
        <f t="shared" si="0"/>
        <v>0.5</v>
      </c>
      <c r="O18" s="27">
        <f>12.7/25.4</f>
        <v>0.5</v>
      </c>
      <c r="P18" s="27">
        <v>0.59399999999999997</v>
      </c>
      <c r="Q18" s="27">
        <v>0.71899999999999997</v>
      </c>
      <c r="R18" s="27">
        <v>0.81200000000000006</v>
      </c>
      <c r="S18" s="27">
        <v>0.90600000000000003</v>
      </c>
      <c r="T18" s="27">
        <v>0.875</v>
      </c>
      <c r="U18" s="24" t="s">
        <v>39</v>
      </c>
    </row>
    <row r="19" spans="1:21" x14ac:dyDescent="0.25">
      <c r="A19" s="28" t="s">
        <v>40</v>
      </c>
      <c r="B19" s="23">
        <v>10.750000000000002</v>
      </c>
      <c r="C19" s="27">
        <v>0.13400000000000001</v>
      </c>
      <c r="D19" s="27">
        <v>0.13400000000000001</v>
      </c>
      <c r="E19" s="27">
        <v>0.16500000000000001</v>
      </c>
      <c r="F19" s="27">
        <v>0.16500000000000001</v>
      </c>
      <c r="G19" s="27">
        <v>0.25</v>
      </c>
      <c r="H19" s="27">
        <v>0.307</v>
      </c>
      <c r="I19" s="27">
        <v>0.36499999999999999</v>
      </c>
      <c r="J19" s="27">
        <v>0.36499999999999999</v>
      </c>
      <c r="K19" s="27">
        <v>0.36499999999999999</v>
      </c>
      <c r="L19" s="27">
        <v>0.5</v>
      </c>
      <c r="M19" s="27">
        <f t="shared" si="0"/>
        <v>0.5</v>
      </c>
      <c r="N19" s="27">
        <f t="shared" si="0"/>
        <v>0.5</v>
      </c>
      <c r="O19" s="27">
        <v>0.59399999999999997</v>
      </c>
      <c r="P19" s="27">
        <v>0.71899999999999997</v>
      </c>
      <c r="Q19" s="27">
        <v>0.84400000000000008</v>
      </c>
      <c r="R19" s="27">
        <v>1</v>
      </c>
      <c r="S19" s="27">
        <v>1.125</v>
      </c>
      <c r="T19" s="27">
        <v>1</v>
      </c>
      <c r="U19" s="24" t="s">
        <v>41</v>
      </c>
    </row>
    <row r="20" spans="1:21" x14ac:dyDescent="0.25">
      <c r="A20" s="28" t="s">
        <v>42</v>
      </c>
      <c r="B20" s="23">
        <v>12.75</v>
      </c>
      <c r="C20" s="27">
        <v>0.15600000000000003</v>
      </c>
      <c r="D20" s="27">
        <v>0.15600000000000003</v>
      </c>
      <c r="E20" s="27">
        <v>0.18000000000000002</v>
      </c>
      <c r="F20" s="27">
        <v>0.18000000000000002</v>
      </c>
      <c r="G20" s="27">
        <v>0.25</v>
      </c>
      <c r="H20" s="27">
        <v>0.33</v>
      </c>
      <c r="I20" s="27">
        <f t="shared" ref="I20:J38" si="1">9.525/25.4</f>
        <v>0.37500000000000006</v>
      </c>
      <c r="J20" s="27">
        <f t="shared" si="1"/>
        <v>0.37500000000000006</v>
      </c>
      <c r="K20" s="27">
        <v>0.40600000000000003</v>
      </c>
      <c r="L20" s="27">
        <v>0.56200000000000006</v>
      </c>
      <c r="M20" s="27">
        <f t="shared" si="0"/>
        <v>0.5</v>
      </c>
      <c r="N20" s="27">
        <f t="shared" si="0"/>
        <v>0.5</v>
      </c>
      <c r="O20" s="27">
        <v>0.68799999999999994</v>
      </c>
      <c r="P20" s="27">
        <v>0.84400000000000008</v>
      </c>
      <c r="Q20" s="27">
        <v>1</v>
      </c>
      <c r="R20" s="27">
        <v>1.125</v>
      </c>
      <c r="S20" s="27">
        <v>1.3119999999999998</v>
      </c>
      <c r="T20" s="27">
        <v>1</v>
      </c>
      <c r="U20" s="24" t="s">
        <v>9</v>
      </c>
    </row>
    <row r="21" spans="1:21" x14ac:dyDescent="0.25">
      <c r="A21" s="28" t="s">
        <v>43</v>
      </c>
      <c r="B21" s="23">
        <v>14</v>
      </c>
      <c r="C21" s="27">
        <v>0.15600000000000003</v>
      </c>
      <c r="D21" s="27">
        <v>0.15600000000000003</v>
      </c>
      <c r="E21" s="27">
        <v>0.25</v>
      </c>
      <c r="F21" s="27">
        <v>0.188</v>
      </c>
      <c r="G21" s="27">
        <v>0.31200000000000006</v>
      </c>
      <c r="H21" s="27">
        <v>0.37500000000000006</v>
      </c>
      <c r="I21" s="27">
        <f t="shared" si="1"/>
        <v>0.37500000000000006</v>
      </c>
      <c r="J21" s="27">
        <f t="shared" si="1"/>
        <v>0.37500000000000006</v>
      </c>
      <c r="K21" s="27">
        <v>0.438</v>
      </c>
      <c r="L21" s="27">
        <v>0.59399999999999997</v>
      </c>
      <c r="M21" s="27">
        <f t="shared" si="0"/>
        <v>0.5</v>
      </c>
      <c r="N21" s="27">
        <f t="shared" si="0"/>
        <v>0.5</v>
      </c>
      <c r="O21" s="27">
        <v>0.75000000000000011</v>
      </c>
      <c r="P21" s="27">
        <v>0.93800000000000006</v>
      </c>
      <c r="Q21" s="27">
        <v>1.0940000000000001</v>
      </c>
      <c r="R21" s="27">
        <v>1.25</v>
      </c>
      <c r="S21" s="27">
        <v>1.4059999999999999</v>
      </c>
      <c r="T21" s="23"/>
    </row>
    <row r="22" spans="1:21" x14ac:dyDescent="0.25">
      <c r="A22" s="28" t="s">
        <v>44</v>
      </c>
      <c r="B22" s="23">
        <v>16</v>
      </c>
      <c r="C22" s="27">
        <v>0.16500000000000001</v>
      </c>
      <c r="D22" s="27">
        <v>0.16500000000000001</v>
      </c>
      <c r="E22" s="27">
        <v>0.25</v>
      </c>
      <c r="F22" s="27">
        <v>0.188</v>
      </c>
      <c r="G22" s="27">
        <v>0.31200000000000006</v>
      </c>
      <c r="H22" s="27">
        <v>0.37500000000000006</v>
      </c>
      <c r="I22" s="27">
        <f t="shared" si="1"/>
        <v>0.37500000000000006</v>
      </c>
      <c r="J22" s="27">
        <f t="shared" si="1"/>
        <v>0.37500000000000006</v>
      </c>
      <c r="K22" s="27">
        <v>0.5</v>
      </c>
      <c r="L22" s="27">
        <v>0.65599999999999992</v>
      </c>
      <c r="M22" s="27">
        <f t="shared" si="0"/>
        <v>0.5</v>
      </c>
      <c r="N22" s="27">
        <f t="shared" si="0"/>
        <v>0.5</v>
      </c>
      <c r="O22" s="27">
        <v>0.84400000000000008</v>
      </c>
      <c r="P22" s="27">
        <v>1.0309999999999999</v>
      </c>
      <c r="Q22" s="27">
        <v>1.2190000000000001</v>
      </c>
      <c r="R22" s="27">
        <v>1.4379999999999999</v>
      </c>
      <c r="S22" s="27">
        <v>1.5940000000000001</v>
      </c>
      <c r="T22" s="23"/>
    </row>
    <row r="23" spans="1:21" x14ac:dyDescent="0.25">
      <c r="A23" s="28" t="s">
        <v>45</v>
      </c>
      <c r="B23" s="23">
        <v>18</v>
      </c>
      <c r="C23" s="27">
        <v>0.16500000000000001</v>
      </c>
      <c r="D23" s="27">
        <v>0.16500000000000001</v>
      </c>
      <c r="E23" s="27">
        <v>0.25</v>
      </c>
      <c r="F23" s="27">
        <v>0.188</v>
      </c>
      <c r="G23" s="27">
        <v>0.31200000000000006</v>
      </c>
      <c r="H23" s="27">
        <v>0.438</v>
      </c>
      <c r="I23" s="27">
        <f t="shared" si="1"/>
        <v>0.37500000000000006</v>
      </c>
      <c r="J23" s="27">
        <f t="shared" si="1"/>
        <v>0.37500000000000006</v>
      </c>
      <c r="K23" s="27">
        <v>0.56200000000000006</v>
      </c>
      <c r="L23" s="27">
        <v>0.75000000000000011</v>
      </c>
      <c r="M23" s="27">
        <f t="shared" si="0"/>
        <v>0.5</v>
      </c>
      <c r="N23" s="27">
        <f t="shared" si="0"/>
        <v>0.5</v>
      </c>
      <c r="O23" s="27">
        <v>0.93800000000000006</v>
      </c>
      <c r="P23" s="27">
        <v>1.1559999999999999</v>
      </c>
      <c r="Q23" s="27">
        <v>1.375</v>
      </c>
      <c r="R23" s="27">
        <v>1.5620000000000001</v>
      </c>
      <c r="S23" s="27">
        <v>1.7809999999999999</v>
      </c>
      <c r="T23" s="23"/>
    </row>
    <row r="24" spans="1:21" x14ac:dyDescent="0.25">
      <c r="A24" s="28" t="s">
        <v>46</v>
      </c>
      <c r="B24" s="23">
        <v>20</v>
      </c>
      <c r="C24" s="27">
        <v>0.188</v>
      </c>
      <c r="D24" s="27">
        <v>0.188</v>
      </c>
      <c r="E24" s="27">
        <v>0.25</v>
      </c>
      <c r="F24" s="27">
        <v>0.21800000000000003</v>
      </c>
      <c r="G24" s="27">
        <v>0.37500000000000006</v>
      </c>
      <c r="H24" s="27">
        <v>0.5</v>
      </c>
      <c r="I24" s="27">
        <f t="shared" si="1"/>
        <v>0.37500000000000006</v>
      </c>
      <c r="J24" s="27">
        <f t="shared" si="1"/>
        <v>0.37500000000000006</v>
      </c>
      <c r="K24" s="27">
        <v>0.59399999999999997</v>
      </c>
      <c r="L24" s="27">
        <v>0.81200000000000006</v>
      </c>
      <c r="M24" s="27">
        <f t="shared" si="0"/>
        <v>0.5</v>
      </c>
      <c r="N24" s="27">
        <f t="shared" si="0"/>
        <v>0.5</v>
      </c>
      <c r="O24" s="27">
        <v>1.0309999999999999</v>
      </c>
      <c r="P24" s="27">
        <v>1.2809999999999999</v>
      </c>
      <c r="Q24" s="27">
        <v>1.4999999999999998</v>
      </c>
      <c r="R24" s="27">
        <v>1.75</v>
      </c>
      <c r="S24" s="27">
        <v>1.9690000000000001</v>
      </c>
      <c r="T24" s="23"/>
    </row>
    <row r="25" spans="1:21" x14ac:dyDescent="0.25">
      <c r="A25" s="28" t="s">
        <v>47</v>
      </c>
      <c r="B25" s="23">
        <v>22</v>
      </c>
      <c r="C25" s="27">
        <v>0.188</v>
      </c>
      <c r="D25" s="27">
        <v>0.188</v>
      </c>
      <c r="E25" s="27">
        <v>0.25</v>
      </c>
      <c r="F25" s="27">
        <v>0.21800000000000003</v>
      </c>
      <c r="G25" s="27">
        <v>0.37500000000000006</v>
      </c>
      <c r="H25" s="27">
        <v>0.5</v>
      </c>
      <c r="I25" s="27">
        <f t="shared" si="1"/>
        <v>0.37500000000000006</v>
      </c>
      <c r="J25" s="23"/>
      <c r="K25" s="23"/>
      <c r="L25" s="27">
        <v>0.875</v>
      </c>
      <c r="M25" s="27">
        <f t="shared" si="0"/>
        <v>0.5</v>
      </c>
      <c r="N25" s="23"/>
      <c r="O25" s="27">
        <v>1.125</v>
      </c>
      <c r="P25" s="27">
        <v>1.375</v>
      </c>
      <c r="Q25" s="27">
        <v>1.625</v>
      </c>
      <c r="R25" s="27">
        <v>1.875</v>
      </c>
      <c r="S25" s="27">
        <v>2.125</v>
      </c>
      <c r="T25" s="23"/>
    </row>
    <row r="26" spans="1:21" x14ac:dyDescent="0.25">
      <c r="A26" s="28" t="s">
        <v>48</v>
      </c>
      <c r="B26" s="23">
        <v>23.999999999999996</v>
      </c>
      <c r="C26" s="27">
        <v>0.21800000000000003</v>
      </c>
      <c r="D26" s="27">
        <v>0.21800000000000003</v>
      </c>
      <c r="E26" s="27">
        <v>0.25</v>
      </c>
      <c r="F26" s="27">
        <v>0.25</v>
      </c>
      <c r="G26" s="27">
        <v>0.37500000000000006</v>
      </c>
      <c r="H26" s="27">
        <v>0.56200000000000006</v>
      </c>
      <c r="I26" s="27">
        <f t="shared" si="1"/>
        <v>0.37500000000000006</v>
      </c>
      <c r="J26" s="27">
        <f>9.525/25.4</f>
        <v>0.37500000000000006</v>
      </c>
      <c r="K26" s="27">
        <v>0.68799999999999994</v>
      </c>
      <c r="L26" s="27">
        <v>0.96899999999999997</v>
      </c>
      <c r="M26" s="27">
        <f t="shared" si="0"/>
        <v>0.5</v>
      </c>
      <c r="N26" s="27">
        <f>12.7/25.4</f>
        <v>0.5</v>
      </c>
      <c r="O26" s="27">
        <v>1.2190000000000001</v>
      </c>
      <c r="P26" s="27">
        <v>1.5309999999999997</v>
      </c>
      <c r="Q26" s="27">
        <v>1.8120000000000001</v>
      </c>
      <c r="R26" s="27">
        <v>2.0619999999999998</v>
      </c>
      <c r="S26" s="27">
        <v>2.3439999999999999</v>
      </c>
      <c r="T26" s="23"/>
    </row>
    <row r="27" spans="1:21" x14ac:dyDescent="0.25">
      <c r="A27" s="28" t="s">
        <v>49</v>
      </c>
      <c r="B27" s="23">
        <v>26</v>
      </c>
      <c r="C27" s="23"/>
      <c r="D27" s="23"/>
      <c r="E27" s="27">
        <v>0.31200000000000006</v>
      </c>
      <c r="F27" s="23"/>
      <c r="G27" s="27">
        <v>0.5</v>
      </c>
      <c r="H27" s="23"/>
      <c r="I27" s="27">
        <f t="shared" si="1"/>
        <v>0.37500000000000006</v>
      </c>
      <c r="J27" s="23"/>
      <c r="K27" s="23"/>
      <c r="L27" s="23"/>
      <c r="M27" s="27">
        <f t="shared" si="0"/>
        <v>0.5</v>
      </c>
      <c r="N27" s="23"/>
      <c r="O27" s="23"/>
      <c r="P27" s="23"/>
      <c r="Q27" s="23"/>
      <c r="R27" s="23"/>
      <c r="S27" s="23"/>
      <c r="T27" s="23"/>
    </row>
    <row r="28" spans="1:21" x14ac:dyDescent="0.25">
      <c r="A28" s="28" t="s">
        <v>50</v>
      </c>
      <c r="B28" s="23">
        <v>28.000000000000004</v>
      </c>
      <c r="C28" s="23"/>
      <c r="D28" s="23"/>
      <c r="E28" s="27">
        <v>0.31200000000000006</v>
      </c>
      <c r="F28" s="23"/>
      <c r="G28" s="27">
        <v>0.5</v>
      </c>
      <c r="H28" s="27">
        <v>0.625</v>
      </c>
      <c r="I28" s="27">
        <f t="shared" si="1"/>
        <v>0.37500000000000006</v>
      </c>
      <c r="J28" s="23"/>
      <c r="K28" s="23"/>
      <c r="L28" s="23"/>
      <c r="M28" s="27">
        <f t="shared" si="0"/>
        <v>0.5</v>
      </c>
      <c r="N28" s="23"/>
      <c r="O28" s="23"/>
      <c r="P28" s="23"/>
      <c r="Q28" s="23"/>
      <c r="R28" s="23"/>
      <c r="S28" s="23"/>
      <c r="T28" s="23"/>
    </row>
    <row r="29" spans="1:21" x14ac:dyDescent="0.25">
      <c r="A29" s="28" t="s">
        <v>51</v>
      </c>
      <c r="B29" s="23">
        <v>30</v>
      </c>
      <c r="C29" s="27">
        <v>0.25</v>
      </c>
      <c r="D29" s="27">
        <v>0.25</v>
      </c>
      <c r="E29" s="27">
        <v>0.31200000000000006</v>
      </c>
      <c r="F29" s="27">
        <v>0.31200000000000006</v>
      </c>
      <c r="G29" s="27">
        <v>0.5</v>
      </c>
      <c r="H29" s="27">
        <v>0.625</v>
      </c>
      <c r="I29" s="27">
        <f t="shared" si="1"/>
        <v>0.37500000000000006</v>
      </c>
      <c r="J29" s="23"/>
      <c r="K29" s="23"/>
      <c r="L29" s="23"/>
      <c r="M29" s="27">
        <f t="shared" si="0"/>
        <v>0.5</v>
      </c>
      <c r="N29" s="23"/>
      <c r="O29" s="23"/>
      <c r="P29" s="23"/>
      <c r="Q29" s="23"/>
      <c r="R29" s="23"/>
      <c r="S29" s="23"/>
      <c r="T29" s="23"/>
    </row>
    <row r="30" spans="1:21" x14ac:dyDescent="0.25">
      <c r="A30" s="28" t="s">
        <v>52</v>
      </c>
      <c r="B30" s="23">
        <v>32</v>
      </c>
      <c r="C30" s="23"/>
      <c r="D30" s="23"/>
      <c r="E30" s="27">
        <v>0.31200000000000006</v>
      </c>
      <c r="F30" s="23"/>
      <c r="G30" s="27">
        <v>0.5</v>
      </c>
      <c r="H30" s="27">
        <v>0.625</v>
      </c>
      <c r="I30" s="27">
        <f t="shared" si="1"/>
        <v>0.37500000000000006</v>
      </c>
      <c r="J30" s="23"/>
      <c r="K30" s="27">
        <v>0.68799999999999994</v>
      </c>
      <c r="L30" s="23"/>
      <c r="M30" s="27">
        <f t="shared" si="0"/>
        <v>0.5</v>
      </c>
      <c r="N30" s="23"/>
      <c r="O30" s="23"/>
      <c r="P30" s="23"/>
      <c r="Q30" s="23"/>
      <c r="R30" s="23"/>
      <c r="S30" s="23"/>
      <c r="T30" s="23"/>
    </row>
    <row r="31" spans="1:21" x14ac:dyDescent="0.25">
      <c r="A31" s="28" t="s">
        <v>53</v>
      </c>
      <c r="B31" s="23">
        <v>34</v>
      </c>
      <c r="C31" s="23"/>
      <c r="D31" s="23"/>
      <c r="E31" s="27">
        <v>0.31200000000000006</v>
      </c>
      <c r="F31" s="23"/>
      <c r="G31" s="27">
        <v>0.5</v>
      </c>
      <c r="H31" s="27">
        <v>0.625</v>
      </c>
      <c r="I31" s="27">
        <f t="shared" si="1"/>
        <v>0.37500000000000006</v>
      </c>
      <c r="J31" s="23"/>
      <c r="K31" s="27">
        <v>0.68799999999999994</v>
      </c>
      <c r="L31" s="23"/>
      <c r="M31" s="27">
        <f t="shared" si="0"/>
        <v>0.5</v>
      </c>
      <c r="N31" s="23"/>
      <c r="O31" s="23"/>
      <c r="P31" s="23"/>
      <c r="Q31" s="23"/>
      <c r="R31" s="23"/>
      <c r="S31" s="23"/>
      <c r="T31" s="23"/>
    </row>
    <row r="32" spans="1:21" x14ac:dyDescent="0.25">
      <c r="A32" s="28" t="s">
        <v>54</v>
      </c>
      <c r="B32" s="23">
        <v>36</v>
      </c>
      <c r="C32" s="23"/>
      <c r="D32" s="23"/>
      <c r="E32" s="27">
        <v>0.31200000000000006</v>
      </c>
      <c r="F32" s="23"/>
      <c r="G32" s="27">
        <v>0.5</v>
      </c>
      <c r="H32" s="27">
        <v>0.625</v>
      </c>
      <c r="I32" s="27">
        <f t="shared" si="1"/>
        <v>0.37500000000000006</v>
      </c>
      <c r="J32" s="23"/>
      <c r="K32" s="27">
        <f>19.05/25.4</f>
        <v>0.75000000000000011</v>
      </c>
      <c r="L32" s="23"/>
      <c r="M32" s="27">
        <f t="shared" si="0"/>
        <v>0.5</v>
      </c>
      <c r="N32" s="23"/>
      <c r="O32" s="23"/>
      <c r="P32" s="23"/>
      <c r="Q32" s="23"/>
      <c r="R32" s="23"/>
      <c r="S32" s="23"/>
      <c r="T32" s="23"/>
    </row>
    <row r="33" spans="1:20" x14ac:dyDescent="0.25">
      <c r="A33" s="28" t="s">
        <v>55</v>
      </c>
      <c r="B33" s="23">
        <v>38.000000000000007</v>
      </c>
      <c r="C33" s="23"/>
      <c r="D33" s="29"/>
      <c r="E33" s="29"/>
      <c r="F33" s="29"/>
      <c r="G33" s="29"/>
      <c r="H33" s="29"/>
      <c r="I33" s="27">
        <f t="shared" si="1"/>
        <v>0.37500000000000006</v>
      </c>
      <c r="J33" s="29"/>
      <c r="K33" s="29"/>
      <c r="L33" s="29"/>
      <c r="M33" s="27">
        <f t="shared" si="0"/>
        <v>0.5</v>
      </c>
      <c r="N33" s="29"/>
      <c r="O33" s="29"/>
      <c r="P33" s="29"/>
      <c r="Q33" s="29"/>
      <c r="R33" s="29"/>
      <c r="S33" s="29"/>
      <c r="T33" s="29"/>
    </row>
    <row r="34" spans="1:20" x14ac:dyDescent="0.25">
      <c r="A34" s="28" t="s">
        <v>56</v>
      </c>
      <c r="B34" s="23">
        <v>40</v>
      </c>
      <c r="C34" s="23"/>
      <c r="D34" s="29"/>
      <c r="E34" s="29"/>
      <c r="F34" s="29"/>
      <c r="G34" s="29"/>
      <c r="H34" s="29"/>
      <c r="I34" s="27">
        <f t="shared" si="1"/>
        <v>0.37500000000000006</v>
      </c>
      <c r="J34" s="29"/>
      <c r="K34" s="29"/>
      <c r="L34" s="29"/>
      <c r="M34" s="27">
        <f t="shared" si="0"/>
        <v>0.5</v>
      </c>
      <c r="N34" s="29"/>
      <c r="O34" s="29"/>
      <c r="P34" s="29"/>
      <c r="Q34" s="29"/>
      <c r="R34" s="29"/>
      <c r="S34" s="29"/>
      <c r="T34" s="29"/>
    </row>
    <row r="35" spans="1:20" x14ac:dyDescent="0.25">
      <c r="A35" s="28" t="s">
        <v>57</v>
      </c>
      <c r="B35" s="23">
        <v>42</v>
      </c>
      <c r="C35" s="23"/>
      <c r="D35" s="29"/>
      <c r="E35" s="29"/>
      <c r="F35" s="29"/>
      <c r="G35" s="29"/>
      <c r="H35" s="29"/>
      <c r="I35" s="27">
        <f t="shared" si="1"/>
        <v>0.37500000000000006</v>
      </c>
      <c r="J35" s="29"/>
      <c r="K35" s="29"/>
      <c r="L35" s="29"/>
      <c r="M35" s="27">
        <f t="shared" si="0"/>
        <v>0.5</v>
      </c>
      <c r="N35" s="29"/>
      <c r="O35" s="29"/>
      <c r="P35" s="29"/>
      <c r="Q35" s="29"/>
      <c r="R35" s="29"/>
      <c r="S35" s="29"/>
      <c r="T35" s="29"/>
    </row>
    <row r="36" spans="1:20" x14ac:dyDescent="0.25">
      <c r="A36" s="28" t="s">
        <v>58</v>
      </c>
      <c r="B36" s="23">
        <v>44</v>
      </c>
      <c r="C36" s="23"/>
      <c r="D36" s="29"/>
      <c r="E36" s="29"/>
      <c r="F36" s="29"/>
      <c r="G36" s="29"/>
      <c r="H36" s="29"/>
      <c r="I36" s="27">
        <f t="shared" si="1"/>
        <v>0.37500000000000006</v>
      </c>
      <c r="J36" s="29"/>
      <c r="K36" s="29"/>
      <c r="L36" s="29"/>
      <c r="M36" s="27">
        <f t="shared" si="0"/>
        <v>0.5</v>
      </c>
      <c r="N36" s="29"/>
      <c r="O36" s="29"/>
      <c r="P36" s="29"/>
      <c r="Q36" s="29"/>
      <c r="R36" s="29"/>
      <c r="S36" s="29"/>
      <c r="T36" s="29"/>
    </row>
    <row r="37" spans="1:20" x14ac:dyDescent="0.25">
      <c r="A37" s="28" t="s">
        <v>59</v>
      </c>
      <c r="B37" s="23">
        <v>46.000000000000007</v>
      </c>
      <c r="C37" s="23"/>
      <c r="D37" s="29"/>
      <c r="E37" s="29"/>
      <c r="F37" s="29"/>
      <c r="G37" s="29"/>
      <c r="H37" s="29"/>
      <c r="I37" s="27">
        <f t="shared" si="1"/>
        <v>0.37500000000000006</v>
      </c>
      <c r="J37" s="29"/>
      <c r="K37" s="29"/>
      <c r="L37" s="29"/>
      <c r="M37" s="27">
        <f t="shared" si="0"/>
        <v>0.5</v>
      </c>
      <c r="N37" s="29"/>
      <c r="O37" s="29"/>
      <c r="P37" s="29"/>
      <c r="Q37" s="29"/>
      <c r="R37" s="29"/>
      <c r="S37" s="29"/>
      <c r="T37" s="29"/>
    </row>
    <row r="38" spans="1:20" x14ac:dyDescent="0.25">
      <c r="A38" s="28" t="s">
        <v>60</v>
      </c>
      <c r="B38" s="23">
        <v>48.000000000000007</v>
      </c>
      <c r="C38" s="23"/>
      <c r="D38" s="29"/>
      <c r="E38" s="29"/>
      <c r="F38" s="29"/>
      <c r="G38" s="29"/>
      <c r="H38" s="29"/>
      <c r="I38" s="27">
        <f t="shared" si="1"/>
        <v>0.37500000000000006</v>
      </c>
      <c r="J38" s="29"/>
      <c r="K38" s="29"/>
      <c r="L38" s="29"/>
      <c r="M38" s="27">
        <f t="shared" si="0"/>
        <v>0.5</v>
      </c>
      <c r="N38" s="29"/>
      <c r="O38" s="29"/>
      <c r="P38" s="29"/>
      <c r="Q38" s="29"/>
      <c r="R38" s="29"/>
      <c r="S38" s="29"/>
      <c r="T38" s="29"/>
    </row>
    <row r="39" spans="1:20" x14ac:dyDescent="0.25">
      <c r="A39" s="28" t="s">
        <v>61</v>
      </c>
      <c r="B39" s="23">
        <v>52</v>
      </c>
      <c r="C39" s="23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</row>
    <row r="40" spans="1:20" x14ac:dyDescent="0.25">
      <c r="A40" s="28" t="s">
        <v>62</v>
      </c>
      <c r="B40" s="23">
        <v>56.000000000000007</v>
      </c>
      <c r="C40" s="23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</row>
    <row r="41" spans="1:20" x14ac:dyDescent="0.25">
      <c r="A41" s="28" t="s">
        <v>63</v>
      </c>
      <c r="B41" s="23">
        <v>60</v>
      </c>
      <c r="C41" s="23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</row>
    <row r="42" spans="1:20" x14ac:dyDescent="0.25">
      <c r="A42" s="28" t="s">
        <v>64</v>
      </c>
      <c r="B42" s="23">
        <v>64</v>
      </c>
      <c r="C42" s="23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</row>
    <row r="43" spans="1:20" x14ac:dyDescent="0.25">
      <c r="A43" s="28" t="s">
        <v>65</v>
      </c>
      <c r="B43" s="23">
        <v>66.000000000000014</v>
      </c>
      <c r="C43" s="23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</row>
    <row r="44" spans="1:20" x14ac:dyDescent="0.25">
      <c r="A44" s="28" t="s">
        <v>66</v>
      </c>
      <c r="B44" s="23">
        <v>68</v>
      </c>
      <c r="C44" s="23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</row>
    <row r="45" spans="1:20" x14ac:dyDescent="0.25">
      <c r="A45" s="28" t="s">
        <v>67</v>
      </c>
      <c r="B45" s="23">
        <v>72</v>
      </c>
      <c r="C45" s="23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</row>
    <row r="46" spans="1:20" x14ac:dyDescent="0.25">
      <c r="A46" s="28" t="s">
        <v>68</v>
      </c>
      <c r="B46" s="23">
        <v>76.000000000000014</v>
      </c>
      <c r="C46" s="23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</row>
    <row r="47" spans="1:20" x14ac:dyDescent="0.25">
      <c r="A47" s="28" t="s">
        <v>69</v>
      </c>
      <c r="B47" s="23">
        <v>80</v>
      </c>
      <c r="C47" s="23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</row>
  </sheetData>
  <sheetProtection algorithmName="SHA-512" hashValue="Z6zu5VcJUfb9RuWyxFHg13eo6yzDXHGwfUvTG4mLG8hJWzL33O9Trg2DexJgPNEk7415qlOICHD3PULCkEfsgQ==" saltValue="P9EBasbyhyr9jvc6Pn11ug==" spinCount="100000" sheet="1" objects="1" scenarios="1"/>
  <mergeCells count="1">
    <mergeCell ref="C1:T1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DAE55-DF36-4D1B-B3FA-E439250D7B50}">
  <sheetPr codeName="Sheet04"/>
  <dimension ref="A1:AY83"/>
  <sheetViews>
    <sheetView zoomScaleNormal="100" workbookViewId="0">
      <selection activeCell="S5" sqref="S5"/>
    </sheetView>
  </sheetViews>
  <sheetFormatPr defaultColWidth="9.140625" defaultRowHeight="11.25" x14ac:dyDescent="0.2"/>
  <cols>
    <col min="1" max="1" width="12.42578125" style="55" customWidth="1"/>
    <col min="2" max="24" width="10.7109375" style="31" customWidth="1"/>
    <col min="25" max="25" width="19.42578125" style="31" hidden="1" customWidth="1"/>
    <col min="26" max="26" width="4.7109375" style="31" hidden="1" customWidth="1"/>
    <col min="27" max="28" width="9.140625" style="31" hidden="1" customWidth="1"/>
    <col min="29" max="16384" width="9.140625" style="31"/>
  </cols>
  <sheetData>
    <row r="1" spans="1:28" x14ac:dyDescent="0.2">
      <c r="A1" s="556" t="s">
        <v>70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  <c r="U1" s="556"/>
      <c r="V1" s="556"/>
      <c r="W1" s="556"/>
      <c r="X1" s="556"/>
    </row>
    <row r="2" spans="1:28" x14ac:dyDescent="0.2">
      <c r="A2" s="556" t="s">
        <v>71</v>
      </c>
      <c r="B2" s="556"/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  <c r="Q2" s="556"/>
      <c r="R2" s="556"/>
      <c r="S2" s="556"/>
      <c r="T2" s="556"/>
      <c r="U2" s="556"/>
      <c r="V2" s="556"/>
      <c r="W2" s="556"/>
      <c r="X2" s="556"/>
    </row>
    <row r="3" spans="1:28" x14ac:dyDescent="0.2">
      <c r="A3" s="556" t="s">
        <v>72</v>
      </c>
      <c r="B3" s="556"/>
      <c r="C3" s="556"/>
      <c r="D3" s="556"/>
      <c r="E3" s="556"/>
      <c r="F3" s="556"/>
      <c r="G3" s="556"/>
      <c r="H3" s="556"/>
      <c r="I3" s="556"/>
      <c r="J3" s="556"/>
      <c r="K3" s="556"/>
      <c r="L3" s="556"/>
      <c r="M3" s="556"/>
      <c r="N3" s="556"/>
      <c r="O3" s="556"/>
      <c r="P3" s="556"/>
      <c r="Q3" s="556"/>
      <c r="R3" s="556"/>
      <c r="S3" s="556"/>
      <c r="T3" s="556"/>
      <c r="U3" s="556"/>
      <c r="V3" s="556"/>
      <c r="W3" s="556"/>
      <c r="X3" s="556"/>
    </row>
    <row r="4" spans="1:28" ht="45" x14ac:dyDescent="0.2">
      <c r="A4" s="32" t="s">
        <v>73</v>
      </c>
      <c r="B4" s="33" t="s">
        <v>74</v>
      </c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80</v>
      </c>
      <c r="I4" s="33" t="s">
        <v>81</v>
      </c>
      <c r="J4" s="33" t="s">
        <v>82</v>
      </c>
      <c r="K4" s="33" t="s">
        <v>83</v>
      </c>
      <c r="L4" s="33" t="s">
        <v>84</v>
      </c>
      <c r="M4" s="33" t="s">
        <v>85</v>
      </c>
      <c r="N4" s="33" t="s">
        <v>86</v>
      </c>
      <c r="O4" s="33" t="s">
        <v>87</v>
      </c>
      <c r="P4" s="33" t="s">
        <v>88</v>
      </c>
      <c r="Q4" s="34" t="s">
        <v>89</v>
      </c>
      <c r="R4" s="33" t="s">
        <v>90</v>
      </c>
      <c r="S4" s="33" t="s">
        <v>91</v>
      </c>
      <c r="T4" s="33" t="s">
        <v>92</v>
      </c>
      <c r="U4" s="33" t="s">
        <v>93</v>
      </c>
      <c r="V4" s="33" t="s">
        <v>94</v>
      </c>
      <c r="W4" s="33" t="s">
        <v>95</v>
      </c>
      <c r="X4" s="33" t="s">
        <v>96</v>
      </c>
      <c r="Y4" s="35" t="s">
        <v>97</v>
      </c>
      <c r="Z4" s="36"/>
      <c r="AA4" s="36" t="s">
        <v>98</v>
      </c>
    </row>
    <row r="5" spans="1:28" ht="11.1" customHeight="1" x14ac:dyDescent="0.2">
      <c r="A5" s="37">
        <f>CONVERT(B5,"F","C")</f>
        <v>-253.88888888888889</v>
      </c>
      <c r="B5" s="38">
        <v>-425</v>
      </c>
      <c r="C5" s="39" t="s">
        <v>99</v>
      </c>
      <c r="D5" s="39" t="s">
        <v>99</v>
      </c>
      <c r="E5" s="39" t="s">
        <v>99</v>
      </c>
      <c r="F5" s="39" t="s">
        <v>99</v>
      </c>
      <c r="G5" s="39" t="s">
        <v>99</v>
      </c>
      <c r="H5" s="39" t="s">
        <v>99</v>
      </c>
      <c r="I5" s="39" t="s">
        <v>99</v>
      </c>
      <c r="J5" s="40">
        <v>-3.93</v>
      </c>
      <c r="K5" s="39" t="s">
        <v>99</v>
      </c>
      <c r="L5" s="39" t="s">
        <v>99</v>
      </c>
      <c r="M5" s="39" t="s">
        <v>99</v>
      </c>
      <c r="N5" s="39" t="s">
        <v>99</v>
      </c>
      <c r="O5" s="39" t="s">
        <v>99</v>
      </c>
      <c r="P5" s="39" t="s">
        <v>99</v>
      </c>
      <c r="Q5" s="39" t="s">
        <v>99</v>
      </c>
      <c r="R5" s="39" t="s">
        <v>99</v>
      </c>
      <c r="S5" s="39" t="s">
        <v>99</v>
      </c>
      <c r="T5" s="39" t="s">
        <v>99</v>
      </c>
      <c r="U5" s="39" t="s">
        <v>99</v>
      </c>
      <c r="V5" s="39" t="s">
        <v>99</v>
      </c>
      <c r="W5" s="39" t="s">
        <v>99</v>
      </c>
      <c r="X5" s="41">
        <v>-0.48</v>
      </c>
      <c r="Y5" s="42" t="s">
        <v>75</v>
      </c>
      <c r="Z5" s="43">
        <v>1</v>
      </c>
      <c r="AA5" s="44">
        <v>7833.4</v>
      </c>
      <c r="AB5" s="45"/>
    </row>
    <row r="6" spans="1:28" ht="11.1" customHeight="1" x14ac:dyDescent="0.2">
      <c r="A6" s="37">
        <f t="shared" ref="A6:A69" si="0">CONVERT(B6,"F","C")</f>
        <v>-240</v>
      </c>
      <c r="B6" s="38">
        <v>-400</v>
      </c>
      <c r="C6" s="39" t="s">
        <v>99</v>
      </c>
      <c r="D6" s="39" t="s">
        <v>99</v>
      </c>
      <c r="E6" s="39" t="s">
        <v>99</v>
      </c>
      <c r="F6" s="39" t="s">
        <v>99</v>
      </c>
      <c r="G6" s="39" t="s">
        <v>99</v>
      </c>
      <c r="H6" s="39" t="s">
        <v>99</v>
      </c>
      <c r="I6" s="39" t="s">
        <v>99</v>
      </c>
      <c r="J6" s="40">
        <v>-3.91</v>
      </c>
      <c r="K6" s="39" t="s">
        <v>99</v>
      </c>
      <c r="L6" s="39" t="s">
        <v>99</v>
      </c>
      <c r="M6" s="39" t="s">
        <v>99</v>
      </c>
      <c r="N6" s="39" t="s">
        <v>99</v>
      </c>
      <c r="O6" s="39" t="s">
        <v>99</v>
      </c>
      <c r="P6" s="39" t="s">
        <v>99</v>
      </c>
      <c r="Q6" s="39" t="s">
        <v>99</v>
      </c>
      <c r="R6" s="39" t="s">
        <v>99</v>
      </c>
      <c r="S6" s="39" t="s">
        <v>99</v>
      </c>
      <c r="T6" s="39" t="s">
        <v>99</v>
      </c>
      <c r="U6" s="39" t="s">
        <v>99</v>
      </c>
      <c r="V6" s="39" t="s">
        <v>99</v>
      </c>
      <c r="W6" s="39" t="s">
        <v>99</v>
      </c>
      <c r="X6" s="41">
        <v>-0.48</v>
      </c>
      <c r="Y6" s="42" t="s">
        <v>100</v>
      </c>
      <c r="Z6" s="43">
        <v>2</v>
      </c>
      <c r="AA6" s="44">
        <v>8009.2079999999996</v>
      </c>
      <c r="AB6" s="45"/>
    </row>
    <row r="7" spans="1:28" ht="11.1" customHeight="1" x14ac:dyDescent="0.2">
      <c r="A7" s="37">
        <f t="shared" si="0"/>
        <v>-226.11111111111111</v>
      </c>
      <c r="B7" s="38">
        <v>-375</v>
      </c>
      <c r="C7" s="39" t="s">
        <v>99</v>
      </c>
      <c r="D7" s="39" t="s">
        <v>99</v>
      </c>
      <c r="E7" s="39" t="s">
        <v>99</v>
      </c>
      <c r="F7" s="39" t="s">
        <v>99</v>
      </c>
      <c r="G7" s="39" t="s">
        <v>99</v>
      </c>
      <c r="H7" s="39" t="s">
        <v>99</v>
      </c>
      <c r="I7" s="39" t="s">
        <v>99</v>
      </c>
      <c r="J7" s="40">
        <v>-3.87</v>
      </c>
      <c r="K7" s="39" t="s">
        <v>99</v>
      </c>
      <c r="L7" s="39" t="s">
        <v>99</v>
      </c>
      <c r="M7" s="39" t="s">
        <v>99</v>
      </c>
      <c r="N7" s="39" t="s">
        <v>99</v>
      </c>
      <c r="O7" s="39" t="s">
        <v>99</v>
      </c>
      <c r="P7" s="39" t="s">
        <v>99</v>
      </c>
      <c r="Q7" s="39" t="s">
        <v>99</v>
      </c>
      <c r="R7" s="39" t="s">
        <v>99</v>
      </c>
      <c r="S7" s="39" t="s">
        <v>99</v>
      </c>
      <c r="T7" s="39" t="s">
        <v>99</v>
      </c>
      <c r="U7" s="39" t="s">
        <v>99</v>
      </c>
      <c r="V7" s="39" t="s">
        <v>99</v>
      </c>
      <c r="W7" s="39" t="s">
        <v>99</v>
      </c>
      <c r="X7" s="41">
        <v>-0.48</v>
      </c>
      <c r="Y7" s="42" t="s">
        <v>101</v>
      </c>
      <c r="Z7" s="43">
        <v>3</v>
      </c>
      <c r="AA7" s="44">
        <v>8027.2</v>
      </c>
      <c r="AB7" s="45"/>
    </row>
    <row r="8" spans="1:28" ht="11.1" customHeight="1" x14ac:dyDescent="0.2">
      <c r="A8" s="37">
        <f t="shared" si="0"/>
        <v>-212.22222222222223</v>
      </c>
      <c r="B8" s="38">
        <v>-350</v>
      </c>
      <c r="C8" s="39" t="s">
        <v>99</v>
      </c>
      <c r="D8" s="39" t="s">
        <v>99</v>
      </c>
      <c r="E8" s="39" t="s">
        <v>99</v>
      </c>
      <c r="F8" s="39" t="s">
        <v>99</v>
      </c>
      <c r="G8" s="39" t="s">
        <v>99</v>
      </c>
      <c r="H8" s="39" t="s">
        <v>99</v>
      </c>
      <c r="I8" s="39" t="s">
        <v>99</v>
      </c>
      <c r="J8" s="40">
        <v>-3.79</v>
      </c>
      <c r="K8" s="39" t="s">
        <v>99</v>
      </c>
      <c r="L8" s="39" t="s">
        <v>99</v>
      </c>
      <c r="M8" s="39" t="s">
        <v>99</v>
      </c>
      <c r="N8" s="39" t="s">
        <v>99</v>
      </c>
      <c r="O8" s="39" t="s">
        <v>99</v>
      </c>
      <c r="P8" s="39" t="s">
        <v>99</v>
      </c>
      <c r="Q8" s="39" t="s">
        <v>99</v>
      </c>
      <c r="R8" s="39" t="s">
        <v>99</v>
      </c>
      <c r="S8" s="39" t="s">
        <v>99</v>
      </c>
      <c r="T8" s="39" t="s">
        <v>99</v>
      </c>
      <c r="U8" s="39" t="s">
        <v>99</v>
      </c>
      <c r="V8" s="39" t="s">
        <v>99</v>
      </c>
      <c r="W8" s="39" t="s">
        <v>99</v>
      </c>
      <c r="X8" s="41">
        <v>-0.48</v>
      </c>
      <c r="Y8" s="42" t="s">
        <v>78</v>
      </c>
      <c r="Z8" s="43">
        <v>4</v>
      </c>
      <c r="AA8" s="44">
        <v>8027.2</v>
      </c>
      <c r="AB8" s="45"/>
    </row>
    <row r="9" spans="1:28" ht="11.1" customHeight="1" x14ac:dyDescent="0.2">
      <c r="A9" s="37">
        <f t="shared" si="0"/>
        <v>-198.33333333333331</v>
      </c>
      <c r="B9" s="38">
        <v>-325</v>
      </c>
      <c r="C9" s="40">
        <v>-2.37</v>
      </c>
      <c r="D9" s="40">
        <v>-2.2200000000000002</v>
      </c>
      <c r="E9" s="40">
        <v>-3.85</v>
      </c>
      <c r="F9" s="40">
        <v>-2.04</v>
      </c>
      <c r="G9" s="39" t="s">
        <v>99</v>
      </c>
      <c r="H9" s="40">
        <v>-2.62</v>
      </c>
      <c r="I9" s="40">
        <v>-2.25</v>
      </c>
      <c r="J9" s="40">
        <v>-3.67</v>
      </c>
      <c r="K9" s="39" t="s">
        <v>99</v>
      </c>
      <c r="L9" s="39" t="s">
        <v>99</v>
      </c>
      <c r="M9" s="39" t="s">
        <v>99</v>
      </c>
      <c r="N9" s="40">
        <v>-4.68</v>
      </c>
      <c r="O9" s="39" t="s">
        <v>99</v>
      </c>
      <c r="P9" s="40">
        <v>-3.98</v>
      </c>
      <c r="Q9" s="40">
        <v>-3.88</v>
      </c>
      <c r="R9" s="40">
        <v>-3.15</v>
      </c>
      <c r="S9" s="39" t="s">
        <v>99</v>
      </c>
      <c r="T9" s="39" t="s">
        <v>99</v>
      </c>
      <c r="U9" s="39" t="s">
        <v>99</v>
      </c>
      <c r="V9" s="39" t="s">
        <v>99</v>
      </c>
      <c r="W9" s="39" t="s">
        <v>99</v>
      </c>
      <c r="X9" s="41">
        <v>-0.47</v>
      </c>
      <c r="Y9" s="42" t="s">
        <v>79</v>
      </c>
      <c r="Z9" s="43">
        <v>5</v>
      </c>
      <c r="AA9" s="44">
        <v>8100</v>
      </c>
      <c r="AB9" s="45"/>
    </row>
    <row r="10" spans="1:28" ht="11.1" customHeight="1" x14ac:dyDescent="0.2">
      <c r="A10" s="37">
        <f t="shared" si="0"/>
        <v>-184.44444444444443</v>
      </c>
      <c r="B10" s="38">
        <v>-300</v>
      </c>
      <c r="C10" s="40">
        <v>-2.2400000000000002</v>
      </c>
      <c r="D10" s="40">
        <v>-2.1</v>
      </c>
      <c r="E10" s="40">
        <v>-3.63</v>
      </c>
      <c r="F10" s="40">
        <v>-1.92</v>
      </c>
      <c r="G10" s="39" t="s">
        <v>99</v>
      </c>
      <c r="H10" s="40">
        <v>-2.5</v>
      </c>
      <c r="I10" s="40">
        <v>-2.17</v>
      </c>
      <c r="J10" s="40">
        <v>-3.53</v>
      </c>
      <c r="K10" s="39" t="s">
        <v>99</v>
      </c>
      <c r="L10" s="39" t="s">
        <v>99</v>
      </c>
      <c r="M10" s="39" t="s">
        <v>99</v>
      </c>
      <c r="N10" s="40">
        <v>-4.46</v>
      </c>
      <c r="O10" s="39" t="s">
        <v>99</v>
      </c>
      <c r="P10" s="40">
        <v>-3.74</v>
      </c>
      <c r="Q10" s="40">
        <v>-3.64</v>
      </c>
      <c r="R10" s="40">
        <v>-2.87</v>
      </c>
      <c r="S10" s="39" t="s">
        <v>99</v>
      </c>
      <c r="T10" s="39" t="s">
        <v>99</v>
      </c>
      <c r="U10" s="39" t="s">
        <v>99</v>
      </c>
      <c r="V10" s="39" t="s">
        <v>99</v>
      </c>
      <c r="W10" s="39" t="s">
        <v>99</v>
      </c>
      <c r="X10" s="41">
        <v>-0.44</v>
      </c>
      <c r="Y10" s="42" t="s">
        <v>80</v>
      </c>
      <c r="Z10" s="43">
        <v>6</v>
      </c>
      <c r="AA10" s="44">
        <v>8860</v>
      </c>
      <c r="AB10" s="45" t="s">
        <v>102</v>
      </c>
    </row>
    <row r="11" spans="1:28" ht="11.1" customHeight="1" x14ac:dyDescent="0.2">
      <c r="A11" s="37">
        <f t="shared" si="0"/>
        <v>-170.55555555555554</v>
      </c>
      <c r="B11" s="38">
        <v>-275</v>
      </c>
      <c r="C11" s="40">
        <v>-2.11</v>
      </c>
      <c r="D11" s="40">
        <v>-1.98</v>
      </c>
      <c r="E11" s="40">
        <v>-3.41</v>
      </c>
      <c r="F11" s="40">
        <v>-1.8</v>
      </c>
      <c r="G11" s="39" t="s">
        <v>99</v>
      </c>
      <c r="H11" s="40">
        <v>-2.38</v>
      </c>
      <c r="I11" s="40">
        <v>-2.0699999999999998</v>
      </c>
      <c r="J11" s="40">
        <v>-3.36</v>
      </c>
      <c r="K11" s="39" t="s">
        <v>99</v>
      </c>
      <c r="L11" s="39" t="s">
        <v>99</v>
      </c>
      <c r="M11" s="39" t="s">
        <v>99</v>
      </c>
      <c r="N11" s="40">
        <v>-4.21</v>
      </c>
      <c r="O11" s="39" t="s">
        <v>99</v>
      </c>
      <c r="P11" s="40">
        <v>-3.5</v>
      </c>
      <c r="Q11" s="40">
        <v>-3.4</v>
      </c>
      <c r="R11" s="40">
        <v>-2.7</v>
      </c>
      <c r="S11" s="39" t="s">
        <v>99</v>
      </c>
      <c r="T11" s="39" t="s">
        <v>99</v>
      </c>
      <c r="U11" s="39" t="s">
        <v>99</v>
      </c>
      <c r="V11" s="39" t="s">
        <v>99</v>
      </c>
      <c r="W11" s="39" t="s">
        <v>99</v>
      </c>
      <c r="X11" s="41">
        <v>-0.42</v>
      </c>
      <c r="Y11" s="42" t="s">
        <v>81</v>
      </c>
      <c r="Z11" s="43">
        <v>7</v>
      </c>
      <c r="AA11" s="44">
        <v>7850</v>
      </c>
      <c r="AB11" s="45"/>
    </row>
    <row r="12" spans="1:28" ht="11.1" customHeight="1" x14ac:dyDescent="0.2">
      <c r="A12" s="37">
        <f t="shared" si="0"/>
        <v>-156.66666666666666</v>
      </c>
      <c r="B12" s="38">
        <v>-250</v>
      </c>
      <c r="C12" s="40">
        <v>-1.98</v>
      </c>
      <c r="D12" s="40">
        <v>-1.86</v>
      </c>
      <c r="E12" s="40">
        <v>-3.19</v>
      </c>
      <c r="F12" s="40">
        <v>-1.68</v>
      </c>
      <c r="G12" s="39" t="s">
        <v>99</v>
      </c>
      <c r="H12" s="40">
        <v>-2.2599999999999998</v>
      </c>
      <c r="I12" s="40">
        <v>-1.96</v>
      </c>
      <c r="J12" s="40">
        <v>-3.17</v>
      </c>
      <c r="K12" s="39" t="s">
        <v>99</v>
      </c>
      <c r="L12" s="39" t="s">
        <v>99</v>
      </c>
      <c r="M12" s="39" t="s">
        <v>99</v>
      </c>
      <c r="N12" s="40">
        <v>-3.97</v>
      </c>
      <c r="O12" s="39" t="s">
        <v>99</v>
      </c>
      <c r="P12" s="40">
        <v>-3.26</v>
      </c>
      <c r="Q12" s="40">
        <v>-3.16</v>
      </c>
      <c r="R12" s="40">
        <v>-2.5299999999999998</v>
      </c>
      <c r="S12" s="39" t="s">
        <v>99</v>
      </c>
      <c r="T12" s="39" t="s">
        <v>99</v>
      </c>
      <c r="U12" s="39" t="s">
        <v>99</v>
      </c>
      <c r="V12" s="39" t="s">
        <v>99</v>
      </c>
      <c r="W12" s="39" t="s">
        <v>99</v>
      </c>
      <c r="X12" s="41">
        <v>-0.38</v>
      </c>
      <c r="Y12" s="42" t="s">
        <v>82</v>
      </c>
      <c r="Z12" s="43">
        <v>8</v>
      </c>
      <c r="AA12" s="44">
        <v>8940</v>
      </c>
      <c r="AB12" s="45"/>
    </row>
    <row r="13" spans="1:28" ht="11.1" customHeight="1" x14ac:dyDescent="0.2">
      <c r="A13" s="37">
        <f t="shared" si="0"/>
        <v>-142.77777777777777</v>
      </c>
      <c r="B13" s="38">
        <v>-225</v>
      </c>
      <c r="C13" s="40">
        <v>-1.85</v>
      </c>
      <c r="D13" s="40">
        <v>-1.74</v>
      </c>
      <c r="E13" s="40">
        <v>-2.96</v>
      </c>
      <c r="F13" s="40">
        <v>-1.57</v>
      </c>
      <c r="G13" s="39" t="s">
        <v>99</v>
      </c>
      <c r="H13" s="40">
        <v>-2.14</v>
      </c>
      <c r="I13" s="40">
        <v>-1.86</v>
      </c>
      <c r="J13" s="40">
        <v>-2.97</v>
      </c>
      <c r="K13" s="39" t="s">
        <v>99</v>
      </c>
      <c r="L13" s="39" t="s">
        <v>99</v>
      </c>
      <c r="M13" s="39" t="s">
        <v>99</v>
      </c>
      <c r="N13" s="40">
        <v>-3.71</v>
      </c>
      <c r="O13" s="39" t="s">
        <v>99</v>
      </c>
      <c r="P13" s="40">
        <v>-3.02</v>
      </c>
      <c r="Q13" s="40">
        <v>-2.93</v>
      </c>
      <c r="R13" s="40">
        <v>-2.36</v>
      </c>
      <c r="S13" s="39" t="s">
        <v>99</v>
      </c>
      <c r="T13" s="39" t="s">
        <v>99</v>
      </c>
      <c r="U13" s="39" t="s">
        <v>99</v>
      </c>
      <c r="V13" s="39" t="s">
        <v>99</v>
      </c>
      <c r="W13" s="39" t="s">
        <v>99</v>
      </c>
      <c r="X13" s="41">
        <v>-0.35</v>
      </c>
      <c r="Y13" s="42" t="s">
        <v>83</v>
      </c>
      <c r="Z13" s="43">
        <v>9</v>
      </c>
      <c r="AA13" s="44">
        <v>4510</v>
      </c>
      <c r="AB13" s="45"/>
    </row>
    <row r="14" spans="1:28" ht="11.1" customHeight="1" x14ac:dyDescent="0.2">
      <c r="A14" s="37">
        <f t="shared" si="0"/>
        <v>-128.88888888888889</v>
      </c>
      <c r="B14" s="38">
        <v>-200</v>
      </c>
      <c r="C14" s="40">
        <v>-1.71</v>
      </c>
      <c r="D14" s="40">
        <v>-1.62</v>
      </c>
      <c r="E14" s="40">
        <v>-2.73</v>
      </c>
      <c r="F14" s="40">
        <v>-1.46</v>
      </c>
      <c r="G14" s="39" t="s">
        <v>99</v>
      </c>
      <c r="H14" s="40">
        <v>-2.02</v>
      </c>
      <c r="I14" s="40">
        <v>-1.76</v>
      </c>
      <c r="J14" s="40">
        <v>-2.76</v>
      </c>
      <c r="K14" s="39" t="s">
        <v>99</v>
      </c>
      <c r="L14" s="39" t="s">
        <v>99</v>
      </c>
      <c r="M14" s="39" t="s">
        <v>99</v>
      </c>
      <c r="N14" s="40">
        <v>-3.44</v>
      </c>
      <c r="O14" s="39" t="s">
        <v>99</v>
      </c>
      <c r="P14" s="40">
        <v>-2.78</v>
      </c>
      <c r="Q14" s="40">
        <v>-2.7</v>
      </c>
      <c r="R14" s="40">
        <v>-2.19</v>
      </c>
      <c r="S14" s="39" t="s">
        <v>99</v>
      </c>
      <c r="T14" s="39" t="s">
        <v>99</v>
      </c>
      <c r="U14" s="39" t="s">
        <v>99</v>
      </c>
      <c r="V14" s="39" t="s">
        <v>99</v>
      </c>
      <c r="W14" s="40">
        <v>-1.51</v>
      </c>
      <c r="X14" s="41">
        <v>-0.31</v>
      </c>
      <c r="Y14" s="42" t="s">
        <v>84</v>
      </c>
      <c r="Z14" s="43">
        <v>10</v>
      </c>
      <c r="AA14" s="44">
        <v>4480</v>
      </c>
      <c r="AB14" s="45"/>
    </row>
    <row r="15" spans="1:28" ht="11.1" customHeight="1" x14ac:dyDescent="0.2">
      <c r="A15" s="37">
        <f t="shared" si="0"/>
        <v>-115</v>
      </c>
      <c r="B15" s="38">
        <v>-175</v>
      </c>
      <c r="C15" s="40">
        <v>-1.58</v>
      </c>
      <c r="D15" s="40">
        <v>-1.5</v>
      </c>
      <c r="E15" s="40">
        <v>-2.5</v>
      </c>
      <c r="F15" s="40">
        <v>-1.35</v>
      </c>
      <c r="G15" s="39" t="s">
        <v>99</v>
      </c>
      <c r="H15" s="40">
        <v>-1.9</v>
      </c>
      <c r="I15" s="40">
        <v>-1.62</v>
      </c>
      <c r="J15" s="40">
        <v>-2.5299999999999998</v>
      </c>
      <c r="K15" s="39" t="s">
        <v>99</v>
      </c>
      <c r="L15" s="39" t="s">
        <v>99</v>
      </c>
      <c r="M15" s="39" t="s">
        <v>99</v>
      </c>
      <c r="N15" s="40">
        <v>-3.16</v>
      </c>
      <c r="O15" s="39" t="s">
        <v>99</v>
      </c>
      <c r="P15" s="40">
        <v>-2.54</v>
      </c>
      <c r="Q15" s="40">
        <v>-2.4700000000000002</v>
      </c>
      <c r="R15" s="40">
        <v>-2.12</v>
      </c>
      <c r="S15" s="39" t="s">
        <v>99</v>
      </c>
      <c r="T15" s="39" t="s">
        <v>99</v>
      </c>
      <c r="U15" s="39" t="s">
        <v>99</v>
      </c>
      <c r="V15" s="39" t="s">
        <v>99</v>
      </c>
      <c r="W15" s="40">
        <v>-1.41</v>
      </c>
      <c r="X15" s="41">
        <v>-0.28000000000000003</v>
      </c>
      <c r="Y15" s="42" t="s">
        <v>85</v>
      </c>
      <c r="Z15" s="43">
        <v>11</v>
      </c>
      <c r="AA15" s="44">
        <v>9220</v>
      </c>
      <c r="AB15" s="45"/>
    </row>
    <row r="16" spans="1:28" ht="11.1" customHeight="1" x14ac:dyDescent="0.2">
      <c r="A16" s="37">
        <f t="shared" si="0"/>
        <v>-101.11111111111111</v>
      </c>
      <c r="B16" s="38">
        <v>-150</v>
      </c>
      <c r="C16" s="40">
        <v>-1.45</v>
      </c>
      <c r="D16" s="40">
        <v>-1.37</v>
      </c>
      <c r="E16" s="40">
        <v>-2.27</v>
      </c>
      <c r="F16" s="40">
        <v>-1.24</v>
      </c>
      <c r="G16" s="39" t="s">
        <v>99</v>
      </c>
      <c r="H16" s="40">
        <v>-1.79</v>
      </c>
      <c r="I16" s="40">
        <v>-1.48</v>
      </c>
      <c r="J16" s="40">
        <v>-2.2999999999999998</v>
      </c>
      <c r="K16" s="39" t="s">
        <v>99</v>
      </c>
      <c r="L16" s="39" t="s">
        <v>99</v>
      </c>
      <c r="M16" s="39" t="s">
        <v>99</v>
      </c>
      <c r="N16" s="40">
        <v>-2.88</v>
      </c>
      <c r="O16" s="39" t="s">
        <v>99</v>
      </c>
      <c r="P16" s="40">
        <v>-2.31</v>
      </c>
      <c r="Q16" s="40">
        <v>-2.2400000000000002</v>
      </c>
      <c r="R16" s="40">
        <v>-1.95</v>
      </c>
      <c r="S16" s="39" t="s">
        <v>99</v>
      </c>
      <c r="T16" s="39" t="s">
        <v>99</v>
      </c>
      <c r="U16" s="39" t="s">
        <v>99</v>
      </c>
      <c r="V16" s="39" t="s">
        <v>99</v>
      </c>
      <c r="W16" s="40">
        <v>-1.29</v>
      </c>
      <c r="X16" s="41">
        <v>-0.24</v>
      </c>
      <c r="Y16" s="42" t="s">
        <v>86</v>
      </c>
      <c r="Z16" s="43">
        <v>12</v>
      </c>
      <c r="AA16" s="44">
        <v>2800</v>
      </c>
      <c r="AB16" s="45"/>
    </row>
    <row r="17" spans="1:28" ht="11.1" customHeight="1" x14ac:dyDescent="0.2">
      <c r="A17" s="37">
        <f t="shared" si="0"/>
        <v>-87.222222222222214</v>
      </c>
      <c r="B17" s="38">
        <v>-125</v>
      </c>
      <c r="C17" s="40">
        <v>-1.3</v>
      </c>
      <c r="D17" s="40">
        <v>-1.23</v>
      </c>
      <c r="E17" s="40">
        <v>-2.0099999999999998</v>
      </c>
      <c r="F17" s="40">
        <v>-1.1100000000000001</v>
      </c>
      <c r="G17" s="39" t="s">
        <v>99</v>
      </c>
      <c r="H17" s="40">
        <v>-1.59</v>
      </c>
      <c r="I17" s="40">
        <v>-1.33</v>
      </c>
      <c r="J17" s="40">
        <v>-2.06</v>
      </c>
      <c r="K17" s="39" t="s">
        <v>99</v>
      </c>
      <c r="L17" s="39" t="s">
        <v>99</v>
      </c>
      <c r="M17" s="39" t="s">
        <v>99</v>
      </c>
      <c r="N17" s="40">
        <v>-2.57</v>
      </c>
      <c r="O17" s="39" t="s">
        <v>99</v>
      </c>
      <c r="P17" s="40">
        <v>-2.06</v>
      </c>
      <c r="Q17" s="40">
        <v>-2</v>
      </c>
      <c r="R17" s="40">
        <v>-1.74</v>
      </c>
      <c r="S17" s="39" t="s">
        <v>99</v>
      </c>
      <c r="T17" s="39" t="s">
        <v>99</v>
      </c>
      <c r="U17" s="39" t="s">
        <v>99</v>
      </c>
      <c r="V17" s="39" t="s">
        <v>99</v>
      </c>
      <c r="W17" s="40">
        <v>-1.1599999999999999</v>
      </c>
      <c r="X17" s="41">
        <v>-0.2</v>
      </c>
      <c r="Y17" s="42" t="s">
        <v>87</v>
      </c>
      <c r="Z17" s="43">
        <v>13</v>
      </c>
      <c r="AA17" s="44">
        <v>7200</v>
      </c>
      <c r="AB17" s="45"/>
    </row>
    <row r="18" spans="1:28" ht="11.1" customHeight="1" x14ac:dyDescent="0.2">
      <c r="A18" s="37">
        <f t="shared" si="0"/>
        <v>-73.333333333333329</v>
      </c>
      <c r="B18" s="38">
        <v>-100</v>
      </c>
      <c r="C18" s="40">
        <v>-1.1499999999999999</v>
      </c>
      <c r="D18" s="40">
        <v>-1.08</v>
      </c>
      <c r="E18" s="40">
        <v>-1.75</v>
      </c>
      <c r="F18" s="40">
        <v>-0.98</v>
      </c>
      <c r="G18" s="39" t="s">
        <v>99</v>
      </c>
      <c r="H18" s="40">
        <v>-1.38</v>
      </c>
      <c r="I18" s="40">
        <v>-1.17</v>
      </c>
      <c r="J18" s="40">
        <v>-1.81</v>
      </c>
      <c r="K18" s="39" t="s">
        <v>99</v>
      </c>
      <c r="L18" s="39" t="s">
        <v>99</v>
      </c>
      <c r="M18" s="39" t="s">
        <v>99</v>
      </c>
      <c r="N18" s="40">
        <v>-2.27</v>
      </c>
      <c r="O18" s="39" t="s">
        <v>99</v>
      </c>
      <c r="P18" s="40">
        <v>-1.81</v>
      </c>
      <c r="Q18" s="40">
        <v>-1.76</v>
      </c>
      <c r="R18" s="40">
        <v>-1.53</v>
      </c>
      <c r="S18" s="39" t="s">
        <v>99</v>
      </c>
      <c r="T18" s="39" t="s">
        <v>99</v>
      </c>
      <c r="U18" s="39" t="s">
        <v>99</v>
      </c>
      <c r="V18" s="39" t="s">
        <v>99</v>
      </c>
      <c r="W18" s="40">
        <v>-1.04</v>
      </c>
      <c r="X18" s="41">
        <v>-0.18</v>
      </c>
      <c r="Y18" s="42" t="s">
        <v>88</v>
      </c>
      <c r="Z18" s="43">
        <v>14</v>
      </c>
      <c r="AA18" s="44">
        <v>8920</v>
      </c>
      <c r="AB18" s="45"/>
    </row>
    <row r="19" spans="1:28" ht="11.1" customHeight="1" x14ac:dyDescent="0.2">
      <c r="A19" s="37">
        <f t="shared" si="0"/>
        <v>-59.444444444444443</v>
      </c>
      <c r="B19" s="38">
        <v>-75</v>
      </c>
      <c r="C19" s="40">
        <v>-1</v>
      </c>
      <c r="D19" s="40">
        <v>-0.94</v>
      </c>
      <c r="E19" s="40">
        <v>-1.5</v>
      </c>
      <c r="F19" s="40">
        <v>-0.85</v>
      </c>
      <c r="G19" s="39" t="s">
        <v>99</v>
      </c>
      <c r="H19" s="40">
        <v>-1.18</v>
      </c>
      <c r="I19" s="40">
        <v>-1.01</v>
      </c>
      <c r="J19" s="40">
        <v>-1.56</v>
      </c>
      <c r="K19" s="39" t="s">
        <v>99</v>
      </c>
      <c r="L19" s="39" t="s">
        <v>99</v>
      </c>
      <c r="M19" s="39" t="s">
        <v>99</v>
      </c>
      <c r="N19" s="40">
        <v>-1.97</v>
      </c>
      <c r="O19" s="39" t="s">
        <v>99</v>
      </c>
      <c r="P19" s="40">
        <v>-1.56</v>
      </c>
      <c r="Q19" s="40">
        <v>-1.52</v>
      </c>
      <c r="R19" s="40">
        <v>-1.33</v>
      </c>
      <c r="S19" s="39" t="s">
        <v>99</v>
      </c>
      <c r="T19" s="39" t="s">
        <v>99</v>
      </c>
      <c r="U19" s="39" t="s">
        <v>99</v>
      </c>
      <c r="V19" s="39" t="s">
        <v>99</v>
      </c>
      <c r="W19" s="40">
        <v>-0.91</v>
      </c>
      <c r="X19" s="41">
        <v>-0.16</v>
      </c>
      <c r="Y19" s="46" t="s">
        <v>89</v>
      </c>
      <c r="Z19" s="43">
        <v>15</v>
      </c>
      <c r="AA19" s="44">
        <v>8730</v>
      </c>
      <c r="AB19" s="45"/>
    </row>
    <row r="20" spans="1:28" ht="11.1" customHeight="1" x14ac:dyDescent="0.2">
      <c r="A20" s="37">
        <f t="shared" si="0"/>
        <v>-45.555555555555557</v>
      </c>
      <c r="B20" s="38">
        <v>-50</v>
      </c>
      <c r="C20" s="40">
        <v>-0.84</v>
      </c>
      <c r="D20" s="40">
        <v>-0.79</v>
      </c>
      <c r="E20" s="40">
        <v>-1.24</v>
      </c>
      <c r="F20" s="40">
        <v>-0.72</v>
      </c>
      <c r="G20" s="39" t="s">
        <v>99</v>
      </c>
      <c r="H20" s="40">
        <v>-0.98</v>
      </c>
      <c r="I20" s="40">
        <v>-0.84</v>
      </c>
      <c r="J20" s="40">
        <v>-1.3</v>
      </c>
      <c r="K20" s="39" t="s">
        <v>99</v>
      </c>
      <c r="L20" s="39" t="s">
        <v>99</v>
      </c>
      <c r="M20" s="39" t="s">
        <v>99</v>
      </c>
      <c r="N20" s="40">
        <v>-1.67</v>
      </c>
      <c r="O20" s="39" t="s">
        <v>99</v>
      </c>
      <c r="P20" s="40">
        <v>-1.32</v>
      </c>
      <c r="Q20" s="40">
        <v>-1.29</v>
      </c>
      <c r="R20" s="40">
        <v>-1.1299999999999999</v>
      </c>
      <c r="S20" s="39" t="s">
        <v>99</v>
      </c>
      <c r="T20" s="39" t="s">
        <v>99</v>
      </c>
      <c r="U20" s="39" t="s">
        <v>99</v>
      </c>
      <c r="V20" s="39" t="s">
        <v>99</v>
      </c>
      <c r="W20" s="40">
        <v>-0.77</v>
      </c>
      <c r="X20" s="41">
        <v>-0.12</v>
      </c>
      <c r="Y20" s="42" t="s">
        <v>90</v>
      </c>
      <c r="Z20" s="43">
        <v>16</v>
      </c>
      <c r="AA20" s="44">
        <v>8950</v>
      </c>
      <c r="AB20" s="45" t="s">
        <v>103</v>
      </c>
    </row>
    <row r="21" spans="1:28" ht="11.1" customHeight="1" x14ac:dyDescent="0.2">
      <c r="A21" s="37">
        <f t="shared" si="0"/>
        <v>-31.666666666666664</v>
      </c>
      <c r="B21" s="38">
        <v>-25</v>
      </c>
      <c r="C21" s="40">
        <v>-0.68</v>
      </c>
      <c r="D21" s="40">
        <v>-0.63</v>
      </c>
      <c r="E21" s="40">
        <v>-0.98</v>
      </c>
      <c r="F21" s="40">
        <v>-0.56999999999999995</v>
      </c>
      <c r="G21" s="39" t="s">
        <v>99</v>
      </c>
      <c r="H21" s="40">
        <v>-0.77</v>
      </c>
      <c r="I21" s="40">
        <v>-0.67</v>
      </c>
      <c r="J21" s="40">
        <v>-1.04</v>
      </c>
      <c r="K21" s="39" t="s">
        <v>99</v>
      </c>
      <c r="L21" s="39" t="s">
        <v>99</v>
      </c>
      <c r="M21" s="39" t="s">
        <v>99</v>
      </c>
      <c r="N21" s="40">
        <v>-1.32</v>
      </c>
      <c r="O21" s="39" t="s">
        <v>99</v>
      </c>
      <c r="P21" s="40">
        <v>-1.25</v>
      </c>
      <c r="Q21" s="40">
        <v>-1.02</v>
      </c>
      <c r="R21" s="40">
        <v>-0.89</v>
      </c>
      <c r="S21" s="39" t="s">
        <v>99</v>
      </c>
      <c r="T21" s="39" t="s">
        <v>99</v>
      </c>
      <c r="U21" s="39" t="s">
        <v>99</v>
      </c>
      <c r="V21" s="39" t="s">
        <v>99</v>
      </c>
      <c r="W21" s="40">
        <v>-0.62</v>
      </c>
      <c r="X21" s="41">
        <v>-0.08</v>
      </c>
      <c r="Y21" s="42" t="s">
        <v>104</v>
      </c>
      <c r="Z21" s="43">
        <v>17</v>
      </c>
      <c r="AA21" s="44">
        <v>8150</v>
      </c>
      <c r="AB21" s="45"/>
    </row>
    <row r="22" spans="1:28" ht="11.1" customHeight="1" x14ac:dyDescent="0.2">
      <c r="A22" s="37">
        <f t="shared" si="0"/>
        <v>-17.777777777777779</v>
      </c>
      <c r="B22" s="38">
        <v>0</v>
      </c>
      <c r="C22" s="40">
        <v>-0.49</v>
      </c>
      <c r="D22" s="40">
        <v>-0.46</v>
      </c>
      <c r="E22" s="40">
        <v>-0.72</v>
      </c>
      <c r="F22" s="40">
        <v>-0.42</v>
      </c>
      <c r="G22" s="39" t="s">
        <v>99</v>
      </c>
      <c r="H22" s="40">
        <v>-0.56999999999999995</v>
      </c>
      <c r="I22" s="40">
        <v>-0.5</v>
      </c>
      <c r="J22" s="40">
        <v>-0.77</v>
      </c>
      <c r="K22" s="39" t="s">
        <v>99</v>
      </c>
      <c r="L22" s="39" t="s">
        <v>99</v>
      </c>
      <c r="M22" s="39" t="s">
        <v>99</v>
      </c>
      <c r="N22" s="40">
        <v>-0.97</v>
      </c>
      <c r="O22" s="39" t="s">
        <v>99</v>
      </c>
      <c r="P22" s="40">
        <v>-0.77</v>
      </c>
      <c r="Q22" s="40">
        <v>-0.75</v>
      </c>
      <c r="R22" s="40">
        <v>-0.66</v>
      </c>
      <c r="S22" s="39" t="s">
        <v>99</v>
      </c>
      <c r="T22" s="39" t="s">
        <v>99</v>
      </c>
      <c r="U22" s="39" t="s">
        <v>99</v>
      </c>
      <c r="V22" s="39" t="s">
        <v>99</v>
      </c>
      <c r="W22" s="40">
        <v>-0.46</v>
      </c>
      <c r="X22" s="41">
        <v>-0.06</v>
      </c>
      <c r="Y22" s="42" t="s">
        <v>105</v>
      </c>
      <c r="Z22" s="43">
        <v>18</v>
      </c>
      <c r="AA22" s="44">
        <v>8970</v>
      </c>
      <c r="AB22" s="45"/>
    </row>
    <row r="23" spans="1:28" ht="11.1" customHeight="1" x14ac:dyDescent="0.2">
      <c r="A23" s="37">
        <f t="shared" si="0"/>
        <v>-3.8888888888888888</v>
      </c>
      <c r="B23" s="38">
        <v>25</v>
      </c>
      <c r="C23" s="40">
        <v>-0.32</v>
      </c>
      <c r="D23" s="40">
        <v>-0.3</v>
      </c>
      <c r="E23" s="40">
        <v>-0.46</v>
      </c>
      <c r="F23" s="40">
        <v>-0.27</v>
      </c>
      <c r="G23" s="39" t="s">
        <v>99</v>
      </c>
      <c r="H23" s="40">
        <v>-0.37</v>
      </c>
      <c r="I23" s="40">
        <v>-0.32</v>
      </c>
      <c r="J23" s="40">
        <v>-0.5</v>
      </c>
      <c r="K23" s="39" t="s">
        <v>99</v>
      </c>
      <c r="L23" s="39" t="s">
        <v>99</v>
      </c>
      <c r="M23" s="39" t="s">
        <v>99</v>
      </c>
      <c r="N23" s="40">
        <v>-0.63</v>
      </c>
      <c r="O23" s="39" t="s">
        <v>99</v>
      </c>
      <c r="P23" s="40">
        <v>-0.49</v>
      </c>
      <c r="Q23" s="40">
        <v>-0.48</v>
      </c>
      <c r="R23" s="40">
        <v>-0.42</v>
      </c>
      <c r="S23" s="39" t="s">
        <v>99</v>
      </c>
      <c r="T23" s="39" t="s">
        <v>99</v>
      </c>
      <c r="U23" s="39" t="s">
        <v>99</v>
      </c>
      <c r="V23" s="39" t="s">
        <v>99</v>
      </c>
      <c r="W23" s="40">
        <v>-0.23</v>
      </c>
      <c r="X23" s="41">
        <v>-0.02</v>
      </c>
      <c r="Y23" s="42" t="s">
        <v>93</v>
      </c>
      <c r="Z23" s="43">
        <v>19</v>
      </c>
      <c r="AA23" s="44">
        <v>8220</v>
      </c>
      <c r="AB23" s="45"/>
    </row>
    <row r="24" spans="1:28" ht="11.1" customHeight="1" x14ac:dyDescent="0.2">
      <c r="A24" s="37">
        <f t="shared" si="0"/>
        <v>10</v>
      </c>
      <c r="B24" s="38">
        <v>50</v>
      </c>
      <c r="C24" s="40">
        <v>-0.14000000000000001</v>
      </c>
      <c r="D24" s="40">
        <v>-0.13</v>
      </c>
      <c r="E24" s="40">
        <v>-0.21</v>
      </c>
      <c r="F24" s="40">
        <v>-0.12</v>
      </c>
      <c r="G24" s="39" t="s">
        <v>99</v>
      </c>
      <c r="H24" s="40">
        <v>-0.2</v>
      </c>
      <c r="I24" s="40">
        <v>-0.15</v>
      </c>
      <c r="J24" s="40">
        <v>-0.22</v>
      </c>
      <c r="K24" s="39" t="s">
        <v>99</v>
      </c>
      <c r="L24" s="39" t="s">
        <v>99</v>
      </c>
      <c r="M24" s="39" t="s">
        <v>99</v>
      </c>
      <c r="N24" s="40">
        <v>-0.28000000000000003</v>
      </c>
      <c r="O24" s="39" t="s">
        <v>99</v>
      </c>
      <c r="P24" s="40">
        <v>-0.22</v>
      </c>
      <c r="Q24" s="40">
        <v>-0.21</v>
      </c>
      <c r="R24" s="40">
        <v>-0.19</v>
      </c>
      <c r="S24" s="39" t="s">
        <v>99</v>
      </c>
      <c r="T24" s="39" t="s">
        <v>99</v>
      </c>
      <c r="U24" s="39" t="s">
        <v>99</v>
      </c>
      <c r="V24" s="39" t="s">
        <v>99</v>
      </c>
      <c r="W24" s="40">
        <v>-0.14000000000000001</v>
      </c>
      <c r="X24" s="41">
        <v>-0.01</v>
      </c>
      <c r="Y24" s="42" t="s">
        <v>94</v>
      </c>
      <c r="Z24" s="43">
        <v>20</v>
      </c>
      <c r="AA24" s="44">
        <v>8500</v>
      </c>
      <c r="AB24" s="45"/>
    </row>
    <row r="25" spans="1:28" ht="11.1" customHeight="1" x14ac:dyDescent="0.2">
      <c r="A25" s="37">
        <f t="shared" si="0"/>
        <v>21.111111111111111</v>
      </c>
      <c r="B25" s="38">
        <v>70</v>
      </c>
      <c r="C25" s="40">
        <v>0</v>
      </c>
      <c r="D25" s="40">
        <v>0</v>
      </c>
      <c r="E25" s="40">
        <v>0</v>
      </c>
      <c r="F25" s="40">
        <v>0</v>
      </c>
      <c r="G25" s="40">
        <v>0</v>
      </c>
      <c r="H25" s="40">
        <v>0</v>
      </c>
      <c r="I25" s="40">
        <v>0</v>
      </c>
      <c r="J25" s="40">
        <v>0</v>
      </c>
      <c r="K25" s="40">
        <v>0</v>
      </c>
      <c r="L25" s="40">
        <v>0</v>
      </c>
      <c r="M25" s="40">
        <v>0</v>
      </c>
      <c r="N25" s="40">
        <v>0</v>
      </c>
      <c r="O25" s="40">
        <v>0</v>
      </c>
      <c r="P25" s="40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1">
        <v>0</v>
      </c>
      <c r="Y25" s="42" t="s">
        <v>95</v>
      </c>
      <c r="Z25" s="43">
        <v>21</v>
      </c>
      <c r="AA25" s="44">
        <v>7850</v>
      </c>
      <c r="AB25" s="45"/>
    </row>
    <row r="26" spans="1:28" ht="11.1" customHeight="1" x14ac:dyDescent="0.2">
      <c r="A26" s="37">
        <f t="shared" si="0"/>
        <v>37.777777777777779</v>
      </c>
      <c r="B26" s="38">
        <v>100</v>
      </c>
      <c r="C26" s="40">
        <v>0.23</v>
      </c>
      <c r="D26" s="40">
        <v>0.22</v>
      </c>
      <c r="E26" s="40">
        <v>0.34</v>
      </c>
      <c r="F26" s="40">
        <v>0.2</v>
      </c>
      <c r="G26" s="40">
        <v>0.32</v>
      </c>
      <c r="H26" s="40">
        <v>0.28000000000000003</v>
      </c>
      <c r="I26" s="40">
        <v>0.23</v>
      </c>
      <c r="J26" s="40">
        <v>0.34</v>
      </c>
      <c r="K26" s="40">
        <v>0.2</v>
      </c>
      <c r="L26" s="40">
        <v>0.2</v>
      </c>
      <c r="M26" s="40">
        <v>0.2</v>
      </c>
      <c r="N26" s="40">
        <v>0.46</v>
      </c>
      <c r="O26" s="40">
        <v>0.21</v>
      </c>
      <c r="P26" s="40">
        <v>0.36</v>
      </c>
      <c r="Q26" s="40">
        <v>0.35</v>
      </c>
      <c r="R26" s="40">
        <v>0.31</v>
      </c>
      <c r="S26" s="40">
        <v>0.28000000000000003</v>
      </c>
      <c r="T26" s="40">
        <v>0.26</v>
      </c>
      <c r="U26" s="40">
        <v>0.24</v>
      </c>
      <c r="V26" s="40">
        <v>0.25</v>
      </c>
      <c r="W26" s="40">
        <v>0.21</v>
      </c>
      <c r="X26" s="41">
        <v>0.02</v>
      </c>
      <c r="Y26" s="42" t="s">
        <v>96</v>
      </c>
      <c r="Z26" s="43">
        <v>22</v>
      </c>
      <c r="AA26" s="44">
        <v>8110</v>
      </c>
      <c r="AB26" s="45" t="s">
        <v>106</v>
      </c>
    </row>
    <row r="27" spans="1:28" ht="11.1" customHeight="1" x14ac:dyDescent="0.2">
      <c r="A27" s="37">
        <f t="shared" si="0"/>
        <v>51.666666666666664</v>
      </c>
      <c r="B27" s="38">
        <v>125</v>
      </c>
      <c r="C27" s="40">
        <v>0.42</v>
      </c>
      <c r="D27" s="40">
        <v>0.4</v>
      </c>
      <c r="E27" s="40">
        <v>0.62</v>
      </c>
      <c r="F27" s="40">
        <v>0.36</v>
      </c>
      <c r="G27" s="40">
        <v>0.57999999999999996</v>
      </c>
      <c r="H27" s="40">
        <v>0.52</v>
      </c>
      <c r="I27" s="40">
        <v>0.42</v>
      </c>
      <c r="J27" s="40">
        <v>0.63</v>
      </c>
      <c r="K27" s="40">
        <v>0.35</v>
      </c>
      <c r="L27" s="40">
        <v>0.35</v>
      </c>
      <c r="M27" s="40">
        <v>0.4</v>
      </c>
      <c r="N27" s="40">
        <v>0.85</v>
      </c>
      <c r="O27" s="40">
        <v>0.38</v>
      </c>
      <c r="P27" s="40">
        <v>0.66</v>
      </c>
      <c r="Q27" s="40">
        <v>0.64</v>
      </c>
      <c r="R27" s="40">
        <v>0.56000000000000005</v>
      </c>
      <c r="S27" s="40">
        <v>0.52</v>
      </c>
      <c r="T27" s="40">
        <v>0.48</v>
      </c>
      <c r="U27" s="40">
        <v>0.44</v>
      </c>
      <c r="V27" s="40">
        <v>0.46</v>
      </c>
      <c r="W27" s="40">
        <v>0.39</v>
      </c>
      <c r="X27" s="41">
        <v>0.05</v>
      </c>
      <c r="Y27" s="47"/>
      <c r="Z27" s="47"/>
      <c r="AA27" s="47"/>
      <c r="AB27" s="45"/>
    </row>
    <row r="28" spans="1:28" ht="11.1" customHeight="1" x14ac:dyDescent="0.2">
      <c r="A28" s="37">
        <f t="shared" si="0"/>
        <v>65.555555555555557</v>
      </c>
      <c r="B28" s="38">
        <v>150</v>
      </c>
      <c r="C28" s="40">
        <v>0.61</v>
      </c>
      <c r="D28" s="40">
        <v>0.57999999999999996</v>
      </c>
      <c r="E28" s="40">
        <v>0.9</v>
      </c>
      <c r="F28" s="40">
        <v>0.53</v>
      </c>
      <c r="G28" s="40">
        <v>0.84</v>
      </c>
      <c r="H28" s="40">
        <v>0.75</v>
      </c>
      <c r="I28" s="40">
        <v>0.61</v>
      </c>
      <c r="J28" s="40">
        <v>0.91</v>
      </c>
      <c r="K28" s="40">
        <v>0.5</v>
      </c>
      <c r="L28" s="40">
        <v>0.5</v>
      </c>
      <c r="M28" s="40">
        <v>0.6</v>
      </c>
      <c r="N28" s="40">
        <v>1.23</v>
      </c>
      <c r="O28" s="40">
        <v>0.55000000000000004</v>
      </c>
      <c r="P28" s="40">
        <v>0.96</v>
      </c>
      <c r="Q28" s="40">
        <v>0.94</v>
      </c>
      <c r="R28" s="40">
        <v>0.82</v>
      </c>
      <c r="S28" s="40">
        <v>0.76</v>
      </c>
      <c r="T28" s="40">
        <v>0.7</v>
      </c>
      <c r="U28" s="40">
        <v>0.65</v>
      </c>
      <c r="V28" s="40">
        <v>0.66</v>
      </c>
      <c r="W28" s="40">
        <v>0.56999999999999995</v>
      </c>
      <c r="X28" s="41">
        <v>0.06</v>
      </c>
      <c r="Y28" s="47"/>
      <c r="Z28" s="47"/>
      <c r="AA28" s="47"/>
      <c r="AB28" s="45"/>
    </row>
    <row r="29" spans="1:28" ht="11.1" customHeight="1" x14ac:dyDescent="0.2">
      <c r="A29" s="37">
        <f t="shared" si="0"/>
        <v>79.444444444444443</v>
      </c>
      <c r="B29" s="38">
        <v>175</v>
      </c>
      <c r="C29" s="40">
        <v>0.8</v>
      </c>
      <c r="D29" s="40">
        <v>0.76</v>
      </c>
      <c r="E29" s="40">
        <v>1.18</v>
      </c>
      <c r="F29" s="40">
        <v>0.69</v>
      </c>
      <c r="G29" s="40">
        <v>1.1000000000000001</v>
      </c>
      <c r="H29" s="40">
        <v>0.99</v>
      </c>
      <c r="I29" s="40">
        <v>0.81</v>
      </c>
      <c r="J29" s="40">
        <v>1.2</v>
      </c>
      <c r="K29" s="40">
        <v>0.6</v>
      </c>
      <c r="L29" s="40">
        <v>0.65</v>
      </c>
      <c r="M29" s="40">
        <v>0.75</v>
      </c>
      <c r="N29" s="40">
        <v>1.62</v>
      </c>
      <c r="O29" s="40">
        <v>0.73</v>
      </c>
      <c r="P29" s="40">
        <v>1.26</v>
      </c>
      <c r="Q29" s="40">
        <v>1.23</v>
      </c>
      <c r="R29" s="40">
        <v>1.07</v>
      </c>
      <c r="S29" s="40">
        <v>0.99</v>
      </c>
      <c r="T29" s="40">
        <v>0.92</v>
      </c>
      <c r="U29" s="40">
        <v>0.86</v>
      </c>
      <c r="V29" s="40">
        <v>0.87</v>
      </c>
      <c r="W29" s="40">
        <v>0.76</v>
      </c>
      <c r="X29" s="41">
        <v>0.08</v>
      </c>
      <c r="Y29" s="47"/>
      <c r="Z29" s="47"/>
      <c r="AA29" s="47"/>
      <c r="AB29" s="45"/>
    </row>
    <row r="30" spans="1:28" ht="11.1" customHeight="1" x14ac:dyDescent="0.2">
      <c r="A30" s="37">
        <f t="shared" si="0"/>
        <v>93.333333333333329</v>
      </c>
      <c r="B30" s="38">
        <v>200</v>
      </c>
      <c r="C30" s="40">
        <v>0.99</v>
      </c>
      <c r="D30" s="40">
        <v>0.94</v>
      </c>
      <c r="E30" s="40">
        <v>1.46</v>
      </c>
      <c r="F30" s="40">
        <v>0.86</v>
      </c>
      <c r="G30" s="40">
        <v>1.37</v>
      </c>
      <c r="H30" s="40">
        <v>1.22</v>
      </c>
      <c r="I30" s="40">
        <v>1.01</v>
      </c>
      <c r="J30" s="40">
        <v>1.49</v>
      </c>
      <c r="K30" s="40">
        <v>0.7</v>
      </c>
      <c r="L30" s="40">
        <v>0.8</v>
      </c>
      <c r="M30" s="40">
        <v>0.9</v>
      </c>
      <c r="N30" s="40">
        <v>2</v>
      </c>
      <c r="O30" s="40">
        <v>0.9</v>
      </c>
      <c r="P30" s="40">
        <v>1.56</v>
      </c>
      <c r="Q30" s="40">
        <v>1.52</v>
      </c>
      <c r="R30" s="40">
        <v>1.33</v>
      </c>
      <c r="S30" s="40">
        <v>1.23</v>
      </c>
      <c r="T30" s="40">
        <v>1.1499999999999999</v>
      </c>
      <c r="U30" s="40">
        <v>1.06</v>
      </c>
      <c r="V30" s="40">
        <v>1.08</v>
      </c>
      <c r="W30" s="40">
        <v>0.94</v>
      </c>
      <c r="X30" s="41">
        <v>0.1</v>
      </c>
      <c r="Y30" s="47"/>
      <c r="Z30" s="47"/>
      <c r="AA30" s="47"/>
      <c r="AB30" s="45"/>
    </row>
    <row r="31" spans="1:28" ht="11.1" customHeight="1" x14ac:dyDescent="0.2">
      <c r="A31" s="37">
        <f t="shared" si="0"/>
        <v>107.22222222222221</v>
      </c>
      <c r="B31" s="38">
        <v>225</v>
      </c>
      <c r="C31" s="40">
        <v>1.21</v>
      </c>
      <c r="D31" s="40">
        <v>1.1299999999999999</v>
      </c>
      <c r="E31" s="40">
        <v>1.75</v>
      </c>
      <c r="F31" s="40">
        <v>1.03</v>
      </c>
      <c r="G31" s="40">
        <v>1.64</v>
      </c>
      <c r="H31" s="40">
        <v>1.46</v>
      </c>
      <c r="I31" s="40">
        <v>1.21</v>
      </c>
      <c r="J31" s="40">
        <v>1.79</v>
      </c>
      <c r="K31" s="40">
        <v>0.85</v>
      </c>
      <c r="L31" s="40">
        <v>0.95</v>
      </c>
      <c r="M31" s="40">
        <v>1.1000000000000001</v>
      </c>
      <c r="N31" s="40">
        <v>2.41</v>
      </c>
      <c r="O31" s="40">
        <v>1.08</v>
      </c>
      <c r="P31" s="40">
        <v>1.86</v>
      </c>
      <c r="Q31" s="40">
        <v>1.83</v>
      </c>
      <c r="R31" s="40">
        <v>1.59</v>
      </c>
      <c r="S31" s="40">
        <v>1.49</v>
      </c>
      <c r="T31" s="40">
        <v>1.38</v>
      </c>
      <c r="U31" s="40">
        <v>1.27</v>
      </c>
      <c r="V31" s="40">
        <v>1.28</v>
      </c>
      <c r="W31" s="40">
        <v>1.1299999999999999</v>
      </c>
      <c r="X31" s="41">
        <v>0.13</v>
      </c>
      <c r="Y31" s="47"/>
      <c r="Z31" s="47"/>
      <c r="AA31" s="47"/>
      <c r="AB31" s="45"/>
    </row>
    <row r="32" spans="1:28" ht="11.1" customHeight="1" x14ac:dyDescent="0.2">
      <c r="A32" s="37">
        <f t="shared" si="0"/>
        <v>121.11111111111111</v>
      </c>
      <c r="B32" s="38">
        <v>250</v>
      </c>
      <c r="C32" s="40">
        <v>1.4</v>
      </c>
      <c r="D32" s="40">
        <v>1.33</v>
      </c>
      <c r="E32" s="40">
        <v>2.0299999999999998</v>
      </c>
      <c r="F32" s="40">
        <v>1.21</v>
      </c>
      <c r="G32" s="40">
        <v>1.91</v>
      </c>
      <c r="H32" s="40">
        <v>1.71</v>
      </c>
      <c r="I32" s="40">
        <v>1.42</v>
      </c>
      <c r="J32" s="40">
        <v>2.09</v>
      </c>
      <c r="K32" s="40">
        <v>1</v>
      </c>
      <c r="L32" s="40">
        <v>1.1000000000000001</v>
      </c>
      <c r="M32" s="40">
        <v>1.3</v>
      </c>
      <c r="N32" s="40">
        <v>2.83</v>
      </c>
      <c r="O32" s="40">
        <v>1.27</v>
      </c>
      <c r="P32" s="40">
        <v>2.17</v>
      </c>
      <c r="Q32" s="40">
        <v>2.14</v>
      </c>
      <c r="R32" s="40">
        <v>1.86</v>
      </c>
      <c r="S32" s="40">
        <v>1.76</v>
      </c>
      <c r="T32" s="40">
        <v>1.61</v>
      </c>
      <c r="U32" s="40">
        <v>1.49</v>
      </c>
      <c r="V32" s="40">
        <v>1.49</v>
      </c>
      <c r="W32" s="40">
        <v>1.33</v>
      </c>
      <c r="X32" s="41">
        <v>0.17</v>
      </c>
      <c r="Y32" s="47"/>
      <c r="Z32" s="47"/>
      <c r="AA32" s="47"/>
      <c r="AB32" s="45"/>
    </row>
    <row r="33" spans="1:28" ht="11.1" customHeight="1" x14ac:dyDescent="0.2">
      <c r="A33" s="37">
        <f t="shared" si="0"/>
        <v>135</v>
      </c>
      <c r="B33" s="38">
        <v>275</v>
      </c>
      <c r="C33" s="40">
        <v>1.61</v>
      </c>
      <c r="D33" s="40">
        <v>1.52</v>
      </c>
      <c r="E33" s="40">
        <v>2.3199999999999998</v>
      </c>
      <c r="F33" s="40">
        <v>1.38</v>
      </c>
      <c r="G33" s="40">
        <v>2.1800000000000002</v>
      </c>
      <c r="H33" s="40">
        <v>1.96</v>
      </c>
      <c r="I33" s="40">
        <v>1.63</v>
      </c>
      <c r="J33" s="40">
        <v>2.38</v>
      </c>
      <c r="K33" s="40">
        <v>1.1499999999999999</v>
      </c>
      <c r="L33" s="40">
        <v>1.25</v>
      </c>
      <c r="M33" s="40">
        <v>1.45</v>
      </c>
      <c r="N33" s="40">
        <v>3.24</v>
      </c>
      <c r="O33" s="40">
        <v>1.45</v>
      </c>
      <c r="P33" s="40">
        <v>2.48</v>
      </c>
      <c r="Q33" s="40">
        <v>2.4500000000000002</v>
      </c>
      <c r="R33" s="40">
        <v>2.13</v>
      </c>
      <c r="S33" s="40">
        <v>2.0299999999999998</v>
      </c>
      <c r="T33" s="40">
        <v>1.85</v>
      </c>
      <c r="U33" s="40">
        <v>1.7</v>
      </c>
      <c r="V33" s="40">
        <v>1.7</v>
      </c>
      <c r="W33" s="40">
        <v>1.53</v>
      </c>
      <c r="X33" s="41">
        <v>0.2</v>
      </c>
      <c r="Y33" s="47"/>
      <c r="Z33" s="47"/>
      <c r="AA33" s="47"/>
      <c r="AB33" s="45"/>
    </row>
    <row r="34" spans="1:28" ht="11.1" customHeight="1" x14ac:dyDescent="0.2">
      <c r="A34" s="37">
        <f t="shared" si="0"/>
        <v>148.88888888888889</v>
      </c>
      <c r="B34" s="38">
        <v>300</v>
      </c>
      <c r="C34" s="40">
        <v>1.82</v>
      </c>
      <c r="D34" s="40">
        <v>1.71</v>
      </c>
      <c r="E34" s="40">
        <v>2.61</v>
      </c>
      <c r="F34" s="40">
        <v>1.56</v>
      </c>
      <c r="G34" s="40">
        <v>2.4500000000000002</v>
      </c>
      <c r="H34" s="40">
        <v>2.21</v>
      </c>
      <c r="I34" s="40">
        <v>1.84</v>
      </c>
      <c r="J34" s="40">
        <v>2.68</v>
      </c>
      <c r="K34" s="40">
        <v>1.3</v>
      </c>
      <c r="L34" s="40">
        <v>1.4</v>
      </c>
      <c r="M34" s="40">
        <v>1.6</v>
      </c>
      <c r="N34" s="40">
        <v>3.67</v>
      </c>
      <c r="O34" s="40">
        <v>1.64</v>
      </c>
      <c r="P34" s="40">
        <v>2.79</v>
      </c>
      <c r="Q34" s="40">
        <v>2.76</v>
      </c>
      <c r="R34" s="40">
        <v>2.4</v>
      </c>
      <c r="S34" s="40">
        <v>2.2999999999999998</v>
      </c>
      <c r="T34" s="40">
        <v>2.09</v>
      </c>
      <c r="U34" s="40">
        <v>1.91</v>
      </c>
      <c r="V34" s="40">
        <v>1.9</v>
      </c>
      <c r="W34" s="40">
        <v>1.72</v>
      </c>
      <c r="X34" s="41">
        <v>0.24</v>
      </c>
      <c r="Y34" s="47"/>
      <c r="Z34" s="47"/>
      <c r="AA34" s="47"/>
      <c r="AB34" s="45"/>
    </row>
    <row r="35" spans="1:28" ht="11.1" customHeight="1" x14ac:dyDescent="0.2">
      <c r="A35" s="37">
        <f t="shared" si="0"/>
        <v>162.77777777777777</v>
      </c>
      <c r="B35" s="38">
        <v>325</v>
      </c>
      <c r="C35" s="40">
        <v>2.04</v>
      </c>
      <c r="D35" s="40">
        <v>1.9</v>
      </c>
      <c r="E35" s="40">
        <v>2.9</v>
      </c>
      <c r="F35" s="40">
        <v>1.74</v>
      </c>
      <c r="G35" s="40">
        <v>2.72</v>
      </c>
      <c r="H35" s="40">
        <v>2.44</v>
      </c>
      <c r="I35" s="40">
        <v>2.0499999999999998</v>
      </c>
      <c r="J35" s="40">
        <v>2.99</v>
      </c>
      <c r="K35" s="40">
        <v>1.45</v>
      </c>
      <c r="L35" s="40">
        <v>1.55</v>
      </c>
      <c r="M35" s="40">
        <v>1.8</v>
      </c>
      <c r="N35" s="40">
        <v>4.09</v>
      </c>
      <c r="O35" s="40">
        <v>1.83</v>
      </c>
      <c r="P35" s="40">
        <v>3.11</v>
      </c>
      <c r="Q35" s="40">
        <v>3.08</v>
      </c>
      <c r="R35" s="40">
        <v>2.68</v>
      </c>
      <c r="S35" s="40">
        <v>2.59</v>
      </c>
      <c r="T35" s="40">
        <v>2.3199999999999998</v>
      </c>
      <c r="U35" s="40">
        <v>2.13</v>
      </c>
      <c r="V35" s="40">
        <v>2.11</v>
      </c>
      <c r="W35" s="40">
        <v>1.93</v>
      </c>
      <c r="X35" s="41">
        <v>0.3</v>
      </c>
      <c r="Y35" s="47"/>
      <c r="Z35" s="47"/>
      <c r="AA35" s="47"/>
      <c r="AB35" s="45"/>
    </row>
    <row r="36" spans="1:28" ht="11.1" customHeight="1" x14ac:dyDescent="0.2">
      <c r="A36" s="37">
        <f t="shared" si="0"/>
        <v>176.66666666666666</v>
      </c>
      <c r="B36" s="38">
        <v>350</v>
      </c>
      <c r="C36" s="40">
        <v>2.2599999999999998</v>
      </c>
      <c r="D36" s="40">
        <v>2.1</v>
      </c>
      <c r="E36" s="40">
        <v>3.2</v>
      </c>
      <c r="F36" s="40">
        <v>1.93</v>
      </c>
      <c r="G36" s="40">
        <v>2.99</v>
      </c>
      <c r="H36" s="40">
        <v>2.68</v>
      </c>
      <c r="I36" s="40">
        <v>2.2599999999999998</v>
      </c>
      <c r="J36" s="40">
        <v>3.29</v>
      </c>
      <c r="K36" s="40">
        <v>1.6</v>
      </c>
      <c r="L36" s="40">
        <v>1.7</v>
      </c>
      <c r="M36" s="40">
        <v>2</v>
      </c>
      <c r="N36" s="40">
        <v>4.5199999999999996</v>
      </c>
      <c r="O36" s="40">
        <v>2.0299999999999998</v>
      </c>
      <c r="P36" s="40">
        <v>3.42</v>
      </c>
      <c r="Q36" s="40">
        <v>3.41</v>
      </c>
      <c r="R36" s="40">
        <v>2.96</v>
      </c>
      <c r="S36" s="40">
        <v>2.88</v>
      </c>
      <c r="T36" s="40">
        <v>2.56</v>
      </c>
      <c r="U36" s="40">
        <v>2.35</v>
      </c>
      <c r="V36" s="40">
        <v>2.3199999999999998</v>
      </c>
      <c r="W36" s="40">
        <v>2.13</v>
      </c>
      <c r="X36" s="41">
        <v>0.36</v>
      </c>
      <c r="Y36" s="47"/>
      <c r="Z36" s="47"/>
      <c r="AA36" s="47"/>
      <c r="AB36" s="45"/>
    </row>
    <row r="37" spans="1:28" ht="11.1" customHeight="1" x14ac:dyDescent="0.2">
      <c r="A37" s="37">
        <f t="shared" si="0"/>
        <v>190.55555555555554</v>
      </c>
      <c r="B37" s="38">
        <v>375</v>
      </c>
      <c r="C37" s="40">
        <v>2.48</v>
      </c>
      <c r="D37" s="40">
        <v>2.2999999999999998</v>
      </c>
      <c r="E37" s="40">
        <v>3.5</v>
      </c>
      <c r="F37" s="40">
        <v>2.11</v>
      </c>
      <c r="G37" s="40">
        <v>3.26</v>
      </c>
      <c r="H37" s="40">
        <v>2.91</v>
      </c>
      <c r="I37" s="40">
        <v>2.4700000000000002</v>
      </c>
      <c r="J37" s="40">
        <v>3.59</v>
      </c>
      <c r="K37" s="40">
        <v>1.75</v>
      </c>
      <c r="L37" s="40">
        <v>1.85</v>
      </c>
      <c r="M37" s="40">
        <v>2.2000000000000002</v>
      </c>
      <c r="N37" s="40">
        <v>4.95</v>
      </c>
      <c r="O37" s="40">
        <v>2.2200000000000002</v>
      </c>
      <c r="P37" s="40">
        <v>3.74</v>
      </c>
      <c r="Q37" s="40">
        <v>3.73</v>
      </c>
      <c r="R37" s="40">
        <v>3.24</v>
      </c>
      <c r="S37" s="40">
        <v>3.18</v>
      </c>
      <c r="T37" s="40">
        <v>2.8</v>
      </c>
      <c r="U37" s="40">
        <v>2.57</v>
      </c>
      <c r="V37" s="40">
        <v>2.5299999999999998</v>
      </c>
      <c r="W37" s="40">
        <v>2.36</v>
      </c>
      <c r="X37" s="41">
        <v>0.42</v>
      </c>
      <c r="Y37" s="47"/>
      <c r="Z37" s="47"/>
      <c r="AA37" s="47"/>
      <c r="AB37" s="45"/>
    </row>
    <row r="38" spans="1:28" ht="11.1" customHeight="1" x14ac:dyDescent="0.2">
      <c r="A38" s="37">
        <f t="shared" si="0"/>
        <v>204.44444444444443</v>
      </c>
      <c r="B38" s="38">
        <v>400</v>
      </c>
      <c r="C38" s="40">
        <v>2.7</v>
      </c>
      <c r="D38" s="40">
        <v>2.5</v>
      </c>
      <c r="E38" s="40">
        <v>3.8</v>
      </c>
      <c r="F38" s="40">
        <v>2.2999999999999998</v>
      </c>
      <c r="G38" s="40">
        <v>3.53</v>
      </c>
      <c r="H38" s="40">
        <v>3.25</v>
      </c>
      <c r="I38" s="40">
        <v>2.69</v>
      </c>
      <c r="J38" s="40">
        <v>3.9</v>
      </c>
      <c r="K38" s="40">
        <v>1.9</v>
      </c>
      <c r="L38" s="40">
        <v>2</v>
      </c>
      <c r="M38" s="40">
        <v>2.4</v>
      </c>
      <c r="N38" s="40">
        <v>5.39</v>
      </c>
      <c r="O38" s="40">
        <v>2.42</v>
      </c>
      <c r="P38" s="40">
        <v>4.05</v>
      </c>
      <c r="Q38" s="40">
        <v>4.05</v>
      </c>
      <c r="R38" s="40">
        <v>3.52</v>
      </c>
      <c r="S38" s="40">
        <v>3.48</v>
      </c>
      <c r="T38" s="40">
        <v>3.05</v>
      </c>
      <c r="U38" s="40">
        <v>2.79</v>
      </c>
      <c r="V38" s="40">
        <v>2.73</v>
      </c>
      <c r="W38" s="40">
        <v>2.56</v>
      </c>
      <c r="X38" s="41">
        <v>0.48</v>
      </c>
      <c r="Y38" s="47"/>
      <c r="Z38" s="47"/>
      <c r="AA38" s="47"/>
      <c r="AB38" s="45"/>
    </row>
    <row r="39" spans="1:28" ht="11.1" customHeight="1" x14ac:dyDescent="0.2">
      <c r="A39" s="37">
        <f t="shared" si="0"/>
        <v>218.33333333333331</v>
      </c>
      <c r="B39" s="38">
        <v>425</v>
      </c>
      <c r="C39" s="40">
        <v>2.93</v>
      </c>
      <c r="D39" s="40">
        <v>2.72</v>
      </c>
      <c r="E39" s="40">
        <v>4.0999999999999996</v>
      </c>
      <c r="F39" s="40">
        <v>2.5</v>
      </c>
      <c r="G39" s="40">
        <v>3.8</v>
      </c>
      <c r="H39" s="40">
        <v>3.52</v>
      </c>
      <c r="I39" s="40">
        <v>2.91</v>
      </c>
      <c r="J39" s="40">
        <v>4.21</v>
      </c>
      <c r="K39" s="40">
        <v>2.0499999999999998</v>
      </c>
      <c r="L39" s="40">
        <v>2.15</v>
      </c>
      <c r="M39" s="40">
        <v>2.6</v>
      </c>
      <c r="N39" s="40">
        <v>5.83</v>
      </c>
      <c r="O39" s="40">
        <v>2.62</v>
      </c>
      <c r="P39" s="40">
        <v>4.37</v>
      </c>
      <c r="Q39" s="40">
        <v>4.38</v>
      </c>
      <c r="R39" s="39" t="s">
        <v>107</v>
      </c>
      <c r="S39" s="40">
        <v>3.76</v>
      </c>
      <c r="T39" s="40">
        <v>3.29</v>
      </c>
      <c r="U39" s="40">
        <v>3.01</v>
      </c>
      <c r="V39" s="40">
        <v>2.94</v>
      </c>
      <c r="W39" s="40">
        <v>2.79</v>
      </c>
      <c r="X39" s="41">
        <v>0.56000000000000005</v>
      </c>
      <c r="Y39" s="47"/>
      <c r="Z39" s="47"/>
      <c r="AA39" s="47"/>
      <c r="AB39" s="45"/>
    </row>
    <row r="40" spans="1:28" ht="11.1" customHeight="1" x14ac:dyDescent="0.2">
      <c r="A40" s="37">
        <f t="shared" si="0"/>
        <v>232.22222222222223</v>
      </c>
      <c r="B40" s="38">
        <v>450</v>
      </c>
      <c r="C40" s="40">
        <v>3.16</v>
      </c>
      <c r="D40" s="40">
        <v>2.93</v>
      </c>
      <c r="E40" s="40">
        <v>4.41</v>
      </c>
      <c r="F40" s="40">
        <v>2.69</v>
      </c>
      <c r="G40" s="40">
        <v>4.07</v>
      </c>
      <c r="H40" s="40">
        <v>3.79</v>
      </c>
      <c r="I40" s="40">
        <v>3.13</v>
      </c>
      <c r="J40" s="40">
        <v>4.51</v>
      </c>
      <c r="K40" s="40">
        <v>2.2000000000000002</v>
      </c>
      <c r="L40" s="40">
        <v>2.2999999999999998</v>
      </c>
      <c r="M40" s="40">
        <v>2.8</v>
      </c>
      <c r="N40" s="40">
        <v>6.28</v>
      </c>
      <c r="O40" s="40">
        <v>2.83</v>
      </c>
      <c r="P40" s="40">
        <v>4.6900000000000004</v>
      </c>
      <c r="Q40" s="40">
        <v>4.72</v>
      </c>
      <c r="R40" s="39" t="s">
        <v>107</v>
      </c>
      <c r="S40" s="40">
        <v>4.04</v>
      </c>
      <c r="T40" s="40">
        <v>3.53</v>
      </c>
      <c r="U40" s="40">
        <v>3.24</v>
      </c>
      <c r="V40" s="40">
        <v>3.15</v>
      </c>
      <c r="W40" s="40">
        <v>3.04</v>
      </c>
      <c r="X40" s="41">
        <v>0.66</v>
      </c>
      <c r="Y40" s="47"/>
      <c r="Z40" s="47"/>
      <c r="AA40" s="47"/>
      <c r="AB40" s="45"/>
    </row>
    <row r="41" spans="1:28" ht="11.1" customHeight="1" x14ac:dyDescent="0.2">
      <c r="A41" s="37">
        <f t="shared" si="0"/>
        <v>246.11111111111111</v>
      </c>
      <c r="B41" s="38">
        <v>475</v>
      </c>
      <c r="C41" s="40">
        <v>3.39</v>
      </c>
      <c r="D41" s="40">
        <v>3.14</v>
      </c>
      <c r="E41" s="40">
        <v>4.71</v>
      </c>
      <c r="F41" s="40">
        <v>2.89</v>
      </c>
      <c r="G41" s="40">
        <v>4.34</v>
      </c>
      <c r="H41" s="40">
        <v>4.0599999999999996</v>
      </c>
      <c r="I41" s="40">
        <v>3.35</v>
      </c>
      <c r="J41" s="40">
        <v>4.82</v>
      </c>
      <c r="K41" s="40">
        <v>2.35</v>
      </c>
      <c r="L41" s="40">
        <v>2.4500000000000002</v>
      </c>
      <c r="M41" s="40">
        <v>3</v>
      </c>
      <c r="N41" s="40">
        <v>6.72</v>
      </c>
      <c r="O41" s="40">
        <v>3.03</v>
      </c>
      <c r="P41" s="40">
        <v>5.01</v>
      </c>
      <c r="Q41" s="40">
        <v>5.0599999999999996</v>
      </c>
      <c r="R41" s="39" t="s">
        <v>107</v>
      </c>
      <c r="S41" s="40">
        <v>4.3099999999999996</v>
      </c>
      <c r="T41" s="40">
        <v>3.78</v>
      </c>
      <c r="U41" s="40">
        <v>3.46</v>
      </c>
      <c r="V41" s="40">
        <v>3.37</v>
      </c>
      <c r="W41" s="40">
        <v>3.28</v>
      </c>
      <c r="X41" s="41">
        <v>0.76</v>
      </c>
      <c r="Y41" s="47"/>
      <c r="Z41" s="47"/>
      <c r="AA41" s="47"/>
      <c r="AB41" s="45"/>
    </row>
    <row r="42" spans="1:28" ht="11.1" customHeight="1" x14ac:dyDescent="0.2">
      <c r="A42" s="37">
        <f t="shared" si="0"/>
        <v>260</v>
      </c>
      <c r="B42" s="38">
        <v>500</v>
      </c>
      <c r="C42" s="40">
        <v>3.62</v>
      </c>
      <c r="D42" s="40">
        <v>3.35</v>
      </c>
      <c r="E42" s="40">
        <v>5.01</v>
      </c>
      <c r="F42" s="40">
        <v>3.08</v>
      </c>
      <c r="G42" s="40">
        <v>4.6100000000000003</v>
      </c>
      <c r="H42" s="40">
        <v>4.33</v>
      </c>
      <c r="I42" s="40">
        <v>3.58</v>
      </c>
      <c r="J42" s="40">
        <v>5.14</v>
      </c>
      <c r="K42" s="40">
        <v>2.5</v>
      </c>
      <c r="L42" s="40">
        <v>2.6</v>
      </c>
      <c r="M42" s="40">
        <v>3.2</v>
      </c>
      <c r="N42" s="40">
        <v>7.17</v>
      </c>
      <c r="O42" s="40">
        <v>3.24</v>
      </c>
      <c r="P42" s="40">
        <v>5.33</v>
      </c>
      <c r="Q42" s="40">
        <v>5.4</v>
      </c>
      <c r="R42" s="39" t="s">
        <v>107</v>
      </c>
      <c r="S42" s="40">
        <v>4.59</v>
      </c>
      <c r="T42" s="40">
        <v>4.0199999999999996</v>
      </c>
      <c r="U42" s="40">
        <v>3.69</v>
      </c>
      <c r="V42" s="40">
        <v>3.59</v>
      </c>
      <c r="W42" s="40">
        <v>3.54</v>
      </c>
      <c r="X42" s="41">
        <v>0.84</v>
      </c>
      <c r="Y42" s="47"/>
      <c r="Z42" s="47"/>
      <c r="AA42" s="47"/>
      <c r="AB42" s="45"/>
    </row>
    <row r="43" spans="1:28" ht="11.1" customHeight="1" x14ac:dyDescent="0.2">
      <c r="A43" s="37">
        <f t="shared" si="0"/>
        <v>273.88888888888886</v>
      </c>
      <c r="B43" s="38">
        <v>525</v>
      </c>
      <c r="C43" s="40">
        <v>3.86</v>
      </c>
      <c r="D43" s="40">
        <v>3.58</v>
      </c>
      <c r="E43" s="40">
        <v>5.31</v>
      </c>
      <c r="F43" s="40">
        <v>3.28</v>
      </c>
      <c r="G43" s="40">
        <v>4.88</v>
      </c>
      <c r="H43" s="40">
        <v>4.6100000000000003</v>
      </c>
      <c r="I43" s="40">
        <v>3.81</v>
      </c>
      <c r="J43" s="40">
        <v>5.45</v>
      </c>
      <c r="K43" s="40">
        <v>2.65</v>
      </c>
      <c r="L43" s="40">
        <v>2.75</v>
      </c>
      <c r="M43" s="40">
        <v>3.4</v>
      </c>
      <c r="N43" s="40">
        <v>7.63</v>
      </c>
      <c r="O43" s="40">
        <v>3.46</v>
      </c>
      <c r="P43" s="40">
        <v>5.65</v>
      </c>
      <c r="Q43" s="40">
        <v>5.75</v>
      </c>
      <c r="R43" s="39" t="s">
        <v>107</v>
      </c>
      <c r="S43" s="40">
        <v>4.87</v>
      </c>
      <c r="T43" s="40">
        <v>4.2699999999999996</v>
      </c>
      <c r="U43" s="40">
        <v>3.92</v>
      </c>
      <c r="V43" s="40">
        <v>3.8</v>
      </c>
      <c r="W43" s="40">
        <v>3.76</v>
      </c>
      <c r="X43" s="41">
        <v>0.96</v>
      </c>
      <c r="Y43" s="47"/>
      <c r="Z43" s="47"/>
      <c r="AA43" s="47"/>
      <c r="AB43" s="45"/>
    </row>
    <row r="44" spans="1:28" ht="11.1" customHeight="1" x14ac:dyDescent="0.2">
      <c r="A44" s="37">
        <f t="shared" si="0"/>
        <v>287.77777777777777</v>
      </c>
      <c r="B44" s="38">
        <v>550</v>
      </c>
      <c r="C44" s="40">
        <v>4.1100000000000003</v>
      </c>
      <c r="D44" s="40">
        <v>3.8</v>
      </c>
      <c r="E44" s="40">
        <v>5.62</v>
      </c>
      <c r="F44" s="40">
        <v>3.49</v>
      </c>
      <c r="G44" s="40">
        <v>5.15</v>
      </c>
      <c r="H44" s="40">
        <v>4.9000000000000004</v>
      </c>
      <c r="I44" s="40">
        <v>4.04</v>
      </c>
      <c r="J44" s="40">
        <v>5.76</v>
      </c>
      <c r="K44" s="40">
        <v>2.8</v>
      </c>
      <c r="L44" s="40">
        <v>2.9</v>
      </c>
      <c r="M44" s="40">
        <v>3.6</v>
      </c>
      <c r="N44" s="40">
        <v>8.1</v>
      </c>
      <c r="O44" s="40">
        <v>3.67</v>
      </c>
      <c r="P44" s="40">
        <v>5.98</v>
      </c>
      <c r="Q44" s="40">
        <v>6.1</v>
      </c>
      <c r="R44" s="39" t="s">
        <v>107</v>
      </c>
      <c r="S44" s="40">
        <v>5.16</v>
      </c>
      <c r="T44" s="40">
        <v>4.5199999999999996</v>
      </c>
      <c r="U44" s="40">
        <v>4.1500000000000004</v>
      </c>
      <c r="V44" s="40">
        <v>4.0199999999999996</v>
      </c>
      <c r="W44" s="40">
        <v>3.99</v>
      </c>
      <c r="X44" s="41">
        <v>1.08</v>
      </c>
      <c r="Y44" s="47"/>
      <c r="Z44" s="47"/>
      <c r="AA44" s="47"/>
      <c r="AB44" s="45"/>
    </row>
    <row r="45" spans="1:28" ht="11.1" customHeight="1" x14ac:dyDescent="0.2">
      <c r="A45" s="37">
        <f t="shared" si="0"/>
        <v>301.66666666666669</v>
      </c>
      <c r="B45" s="38">
        <v>575</v>
      </c>
      <c r="C45" s="40">
        <v>4.3499999999999996</v>
      </c>
      <c r="D45" s="40">
        <v>4.0199999999999996</v>
      </c>
      <c r="E45" s="40">
        <v>5.93</v>
      </c>
      <c r="F45" s="40">
        <v>3.69</v>
      </c>
      <c r="G45" s="40">
        <v>5.42</v>
      </c>
      <c r="H45" s="40">
        <v>5.18</v>
      </c>
      <c r="I45" s="40">
        <v>4.2699999999999996</v>
      </c>
      <c r="J45" s="40">
        <v>6.07</v>
      </c>
      <c r="K45" s="40">
        <v>2.95</v>
      </c>
      <c r="L45" s="40">
        <v>3.1</v>
      </c>
      <c r="M45" s="40">
        <v>3.8</v>
      </c>
      <c r="N45" s="40">
        <v>8.56</v>
      </c>
      <c r="O45" s="40">
        <v>3.89</v>
      </c>
      <c r="P45" s="40">
        <v>6.31</v>
      </c>
      <c r="Q45" s="40">
        <v>6.45</v>
      </c>
      <c r="R45" s="39" t="s">
        <v>107</v>
      </c>
      <c r="S45" s="40">
        <v>5.44</v>
      </c>
      <c r="T45" s="40">
        <v>4.7699999999999996</v>
      </c>
      <c r="U45" s="40">
        <v>4.3899999999999997</v>
      </c>
      <c r="V45" s="40">
        <v>4.24</v>
      </c>
      <c r="W45" s="40">
        <v>4.22</v>
      </c>
      <c r="X45" s="41">
        <v>1.2</v>
      </c>
      <c r="Y45" s="47"/>
      <c r="Z45" s="47"/>
      <c r="AA45" s="47"/>
      <c r="AB45" s="45"/>
    </row>
    <row r="46" spans="1:28" ht="11.1" customHeight="1" x14ac:dyDescent="0.2">
      <c r="A46" s="37">
        <f t="shared" si="0"/>
        <v>315.55555555555554</v>
      </c>
      <c r="B46" s="38">
        <v>600</v>
      </c>
      <c r="C46" s="40">
        <v>4.5999999999999996</v>
      </c>
      <c r="D46" s="40">
        <v>4.24</v>
      </c>
      <c r="E46" s="40">
        <v>6.24</v>
      </c>
      <c r="F46" s="40">
        <v>3.9</v>
      </c>
      <c r="G46" s="40">
        <v>5.69</v>
      </c>
      <c r="H46" s="40">
        <v>5.46</v>
      </c>
      <c r="I46" s="40">
        <v>4.5</v>
      </c>
      <c r="J46" s="40">
        <v>6.09</v>
      </c>
      <c r="K46" s="40">
        <v>3.1</v>
      </c>
      <c r="L46" s="40">
        <v>3.3</v>
      </c>
      <c r="M46" s="40">
        <v>4</v>
      </c>
      <c r="N46" s="40">
        <v>9.0299999999999994</v>
      </c>
      <c r="O46" s="40">
        <v>4.1100000000000003</v>
      </c>
      <c r="P46" s="40">
        <v>6.64</v>
      </c>
      <c r="Q46" s="40">
        <v>6.8</v>
      </c>
      <c r="R46" s="39" t="s">
        <v>107</v>
      </c>
      <c r="S46" s="40">
        <v>5.72</v>
      </c>
      <c r="T46" s="40">
        <v>5.0199999999999996</v>
      </c>
      <c r="U46" s="40">
        <v>4.62</v>
      </c>
      <c r="V46" s="40">
        <v>4.46</v>
      </c>
      <c r="W46" s="40">
        <v>4.4400000000000004</v>
      </c>
      <c r="X46" s="41">
        <v>1.32</v>
      </c>
      <c r="Y46" s="47"/>
      <c r="Z46" s="47"/>
      <c r="AA46" s="47"/>
      <c r="AB46" s="45"/>
    </row>
    <row r="47" spans="1:28" ht="11.1" customHeight="1" x14ac:dyDescent="0.2">
      <c r="A47" s="37">
        <f t="shared" si="0"/>
        <v>329.44444444444446</v>
      </c>
      <c r="B47" s="38">
        <v>625</v>
      </c>
      <c r="C47" s="40">
        <v>4.8600000000000003</v>
      </c>
      <c r="D47" s="40">
        <v>4.47</v>
      </c>
      <c r="E47" s="40">
        <v>6.55</v>
      </c>
      <c r="F47" s="40">
        <v>4.0999999999999996</v>
      </c>
      <c r="G47" s="40">
        <v>5.96</v>
      </c>
      <c r="H47" s="40">
        <v>5.75</v>
      </c>
      <c r="I47" s="40">
        <v>4.74</v>
      </c>
      <c r="J47" s="39" t="s">
        <v>107</v>
      </c>
      <c r="K47" s="40">
        <v>3.25</v>
      </c>
      <c r="L47" s="39" t="s">
        <v>107</v>
      </c>
      <c r="M47" s="40">
        <v>4.2</v>
      </c>
      <c r="N47" s="39" t="s">
        <v>107</v>
      </c>
      <c r="O47" s="40">
        <v>4.34</v>
      </c>
      <c r="P47" s="40">
        <v>6.96</v>
      </c>
      <c r="Q47" s="40">
        <v>7.16</v>
      </c>
      <c r="R47" s="39" t="s">
        <v>107</v>
      </c>
      <c r="S47" s="40">
        <v>6.01</v>
      </c>
      <c r="T47" s="40">
        <v>5.27</v>
      </c>
      <c r="U47" s="40">
        <v>4.8600000000000003</v>
      </c>
      <c r="V47" s="40">
        <v>4.68</v>
      </c>
      <c r="W47" s="40">
        <v>4.66</v>
      </c>
      <c r="X47" s="48" t="s">
        <v>107</v>
      </c>
      <c r="Y47" s="47"/>
      <c r="Z47" s="47"/>
      <c r="AA47" s="47"/>
      <c r="AB47" s="45"/>
    </row>
    <row r="48" spans="1:28" ht="11.1" customHeight="1" x14ac:dyDescent="0.2">
      <c r="A48" s="37">
        <f t="shared" si="0"/>
        <v>343.33333333333331</v>
      </c>
      <c r="B48" s="38">
        <v>650</v>
      </c>
      <c r="C48" s="40">
        <v>5.1100000000000003</v>
      </c>
      <c r="D48" s="40">
        <v>4.6900000000000004</v>
      </c>
      <c r="E48" s="40">
        <v>6.87</v>
      </c>
      <c r="F48" s="40">
        <v>4.3099999999999996</v>
      </c>
      <c r="G48" s="40">
        <v>6.23</v>
      </c>
      <c r="H48" s="40">
        <v>6.05</v>
      </c>
      <c r="I48" s="40">
        <v>4.9800000000000004</v>
      </c>
      <c r="J48" s="39" t="s">
        <v>107</v>
      </c>
      <c r="K48" s="40">
        <v>3.4</v>
      </c>
      <c r="L48" s="39" t="s">
        <v>107</v>
      </c>
      <c r="M48" s="40">
        <v>4.4000000000000004</v>
      </c>
      <c r="N48" s="39" t="s">
        <v>107</v>
      </c>
      <c r="O48" s="40">
        <v>4.57</v>
      </c>
      <c r="P48" s="40">
        <v>7.29</v>
      </c>
      <c r="Q48" s="40">
        <v>7.53</v>
      </c>
      <c r="R48" s="39" t="s">
        <v>107</v>
      </c>
      <c r="S48" s="40">
        <v>6.3</v>
      </c>
      <c r="T48" s="40">
        <v>5.53</v>
      </c>
      <c r="U48" s="40">
        <v>5.09</v>
      </c>
      <c r="V48" s="40">
        <v>4.91</v>
      </c>
      <c r="W48" s="40">
        <v>4.9000000000000004</v>
      </c>
      <c r="X48" s="48" t="s">
        <v>107</v>
      </c>
      <c r="Y48" s="47"/>
      <c r="Z48" s="47"/>
      <c r="AA48" s="47"/>
      <c r="AB48" s="45"/>
    </row>
    <row r="49" spans="1:28" ht="11.1" customHeight="1" x14ac:dyDescent="0.2">
      <c r="A49" s="37">
        <f t="shared" si="0"/>
        <v>357.22222222222223</v>
      </c>
      <c r="B49" s="38">
        <v>675</v>
      </c>
      <c r="C49" s="40">
        <v>5.37</v>
      </c>
      <c r="D49" s="40">
        <v>4.92</v>
      </c>
      <c r="E49" s="40">
        <v>7.18</v>
      </c>
      <c r="F49" s="40">
        <v>4.5199999999999996</v>
      </c>
      <c r="G49" s="40">
        <v>6.5</v>
      </c>
      <c r="H49" s="40">
        <v>6.34</v>
      </c>
      <c r="I49" s="40">
        <v>5.22</v>
      </c>
      <c r="J49" s="39" t="s">
        <v>107</v>
      </c>
      <c r="K49" s="40">
        <v>3.6</v>
      </c>
      <c r="L49" s="39" t="s">
        <v>107</v>
      </c>
      <c r="M49" s="40">
        <v>4.6500000000000004</v>
      </c>
      <c r="N49" s="39" t="s">
        <v>107</v>
      </c>
      <c r="O49" s="40">
        <v>4.8</v>
      </c>
      <c r="P49" s="40">
        <v>7.62</v>
      </c>
      <c r="Q49" s="40">
        <v>7.89</v>
      </c>
      <c r="R49" s="39" t="s">
        <v>107</v>
      </c>
      <c r="S49" s="40">
        <v>6.58</v>
      </c>
      <c r="T49" s="40">
        <v>5.79</v>
      </c>
      <c r="U49" s="40">
        <v>5.33</v>
      </c>
      <c r="V49" s="40">
        <v>5.13</v>
      </c>
      <c r="W49" s="40">
        <v>5.14</v>
      </c>
      <c r="X49" s="48" t="s">
        <v>107</v>
      </c>
      <c r="Y49" s="47"/>
      <c r="Z49" s="47"/>
      <c r="AA49" s="47"/>
      <c r="AB49" s="45"/>
    </row>
    <row r="50" spans="1:28" ht="11.1" customHeight="1" x14ac:dyDescent="0.2">
      <c r="A50" s="37">
        <f t="shared" si="0"/>
        <v>371.11111111111109</v>
      </c>
      <c r="B50" s="38">
        <v>700</v>
      </c>
      <c r="C50" s="40">
        <v>5.63</v>
      </c>
      <c r="D50" s="40">
        <v>5.14</v>
      </c>
      <c r="E50" s="40">
        <v>7.5</v>
      </c>
      <c r="F50" s="40">
        <v>4.7300000000000004</v>
      </c>
      <c r="G50" s="40">
        <v>6.77</v>
      </c>
      <c r="H50" s="40">
        <v>6.64</v>
      </c>
      <c r="I50" s="40">
        <v>5.46</v>
      </c>
      <c r="J50" s="39" t="s">
        <v>107</v>
      </c>
      <c r="K50" s="40">
        <v>3.8</v>
      </c>
      <c r="L50" s="39" t="s">
        <v>107</v>
      </c>
      <c r="M50" s="40">
        <v>4.9000000000000004</v>
      </c>
      <c r="N50" s="39" t="s">
        <v>107</v>
      </c>
      <c r="O50" s="40">
        <v>5.03</v>
      </c>
      <c r="P50" s="40">
        <v>7.95</v>
      </c>
      <c r="Q50" s="40">
        <v>8.26</v>
      </c>
      <c r="R50" s="39" t="s">
        <v>107</v>
      </c>
      <c r="S50" s="40">
        <v>6.88</v>
      </c>
      <c r="T50" s="40">
        <v>6.05</v>
      </c>
      <c r="U50" s="40">
        <v>5.58</v>
      </c>
      <c r="V50" s="40">
        <v>5.36</v>
      </c>
      <c r="W50" s="40">
        <v>5.39</v>
      </c>
      <c r="X50" s="48" t="s">
        <v>107</v>
      </c>
      <c r="Y50" s="47"/>
      <c r="Z50" s="47"/>
      <c r="AA50" s="47"/>
      <c r="AB50" s="45"/>
    </row>
    <row r="51" spans="1:28" ht="11.1" customHeight="1" x14ac:dyDescent="0.2">
      <c r="A51" s="37">
        <f t="shared" si="0"/>
        <v>385</v>
      </c>
      <c r="B51" s="38">
        <v>725</v>
      </c>
      <c r="C51" s="40">
        <v>5.9</v>
      </c>
      <c r="D51" s="40">
        <v>5.38</v>
      </c>
      <c r="E51" s="40">
        <v>7.82</v>
      </c>
      <c r="F51" s="40">
        <v>4.9400000000000004</v>
      </c>
      <c r="G51" s="40">
        <v>7.04</v>
      </c>
      <c r="H51" s="40">
        <v>6.94</v>
      </c>
      <c r="I51" s="40">
        <v>5.7</v>
      </c>
      <c r="J51" s="39" t="s">
        <v>107</v>
      </c>
      <c r="K51" s="40">
        <v>3.95</v>
      </c>
      <c r="L51" s="39" t="s">
        <v>107</v>
      </c>
      <c r="M51" s="40">
        <v>5.0999999999999996</v>
      </c>
      <c r="N51" s="39" t="s">
        <v>107</v>
      </c>
      <c r="O51" s="40">
        <v>5.26</v>
      </c>
      <c r="P51" s="40">
        <v>8.2799999999999994</v>
      </c>
      <c r="Q51" s="40">
        <v>8.64</v>
      </c>
      <c r="R51" s="39" t="s">
        <v>107</v>
      </c>
      <c r="S51" s="40">
        <v>7.17</v>
      </c>
      <c r="T51" s="40">
        <v>6.31</v>
      </c>
      <c r="U51" s="40">
        <v>5.82</v>
      </c>
      <c r="V51" s="40">
        <v>5.59</v>
      </c>
      <c r="W51" s="40">
        <v>5.6</v>
      </c>
      <c r="X51" s="48" t="s">
        <v>107</v>
      </c>
      <c r="Y51" s="47"/>
      <c r="Z51" s="47"/>
      <c r="AA51" s="47"/>
      <c r="AB51" s="45"/>
    </row>
    <row r="52" spans="1:28" ht="11.1" customHeight="1" x14ac:dyDescent="0.2">
      <c r="A52" s="37">
        <f t="shared" si="0"/>
        <v>398.88888888888886</v>
      </c>
      <c r="B52" s="38">
        <v>750</v>
      </c>
      <c r="C52" s="40">
        <v>6.16</v>
      </c>
      <c r="D52" s="40">
        <v>5.62</v>
      </c>
      <c r="E52" s="40">
        <v>8.15</v>
      </c>
      <c r="F52" s="40">
        <v>5.16</v>
      </c>
      <c r="G52" s="40">
        <v>7.31</v>
      </c>
      <c r="H52" s="40">
        <v>7.25</v>
      </c>
      <c r="I52" s="40">
        <v>5.94</v>
      </c>
      <c r="J52" s="39" t="s">
        <v>107</v>
      </c>
      <c r="K52" s="40">
        <v>4.0999999999999996</v>
      </c>
      <c r="L52" s="39" t="s">
        <v>107</v>
      </c>
      <c r="M52" s="40">
        <v>5.3</v>
      </c>
      <c r="N52" s="39" t="s">
        <v>107</v>
      </c>
      <c r="O52" s="40">
        <v>5.5</v>
      </c>
      <c r="P52" s="40">
        <v>8.6199999999999992</v>
      </c>
      <c r="Q52" s="40">
        <v>9.02</v>
      </c>
      <c r="R52" s="39" t="s">
        <v>107</v>
      </c>
      <c r="S52" s="40">
        <v>7.47</v>
      </c>
      <c r="T52" s="40">
        <v>6.57</v>
      </c>
      <c r="U52" s="40">
        <v>6.06</v>
      </c>
      <c r="V52" s="40">
        <v>5.83</v>
      </c>
      <c r="W52" s="40">
        <v>5.85</v>
      </c>
      <c r="X52" s="48" t="s">
        <v>107</v>
      </c>
      <c r="Y52" s="47"/>
      <c r="Z52" s="47"/>
      <c r="AA52" s="47"/>
      <c r="AB52" s="45"/>
    </row>
    <row r="53" spans="1:28" ht="11.1" customHeight="1" x14ac:dyDescent="0.2">
      <c r="A53" s="37">
        <f t="shared" si="0"/>
        <v>412.77777777777777</v>
      </c>
      <c r="B53" s="38">
        <v>775</v>
      </c>
      <c r="C53" s="40">
        <v>6.43</v>
      </c>
      <c r="D53" s="40">
        <v>5.86</v>
      </c>
      <c r="E53" s="40">
        <v>8.4700000000000006</v>
      </c>
      <c r="F53" s="40">
        <v>5.38</v>
      </c>
      <c r="G53" s="40">
        <v>7.58</v>
      </c>
      <c r="H53" s="40">
        <v>7.55</v>
      </c>
      <c r="I53" s="40">
        <v>6.18</v>
      </c>
      <c r="J53" s="39" t="s">
        <v>107</v>
      </c>
      <c r="K53" s="40">
        <v>4.3</v>
      </c>
      <c r="L53" s="39" t="s">
        <v>107</v>
      </c>
      <c r="M53" s="40">
        <v>5.5</v>
      </c>
      <c r="N53" s="39" t="s">
        <v>107</v>
      </c>
      <c r="O53" s="40">
        <v>5.74</v>
      </c>
      <c r="P53" s="40">
        <v>8.9600000000000009</v>
      </c>
      <c r="Q53" s="40">
        <v>9.4</v>
      </c>
      <c r="R53" s="39" t="s">
        <v>107</v>
      </c>
      <c r="S53" s="40">
        <v>7.76</v>
      </c>
      <c r="T53" s="40">
        <v>6.84</v>
      </c>
      <c r="U53" s="40">
        <v>6.31</v>
      </c>
      <c r="V53" s="40">
        <v>6.06</v>
      </c>
      <c r="W53" s="40">
        <v>6.1</v>
      </c>
      <c r="X53" s="48" t="s">
        <v>107</v>
      </c>
      <c r="Y53" s="47"/>
      <c r="Z53" s="47"/>
      <c r="AA53" s="47"/>
      <c r="AB53" s="45"/>
    </row>
    <row r="54" spans="1:28" ht="11.1" customHeight="1" x14ac:dyDescent="0.2">
      <c r="A54" s="37">
        <f t="shared" si="0"/>
        <v>426.66666666666663</v>
      </c>
      <c r="B54" s="38">
        <v>800</v>
      </c>
      <c r="C54" s="40">
        <v>6.7</v>
      </c>
      <c r="D54" s="40">
        <v>6.1</v>
      </c>
      <c r="E54" s="40">
        <v>8.8000000000000007</v>
      </c>
      <c r="F54" s="40">
        <v>5.6</v>
      </c>
      <c r="G54" s="40">
        <v>7.85</v>
      </c>
      <c r="H54" s="40">
        <v>7.85</v>
      </c>
      <c r="I54" s="40">
        <v>6.43</v>
      </c>
      <c r="J54" s="39" t="s">
        <v>107</v>
      </c>
      <c r="K54" s="40">
        <v>4.5</v>
      </c>
      <c r="L54" s="39" t="s">
        <v>107</v>
      </c>
      <c r="M54" s="40">
        <v>5.7</v>
      </c>
      <c r="N54" s="39" t="s">
        <v>107</v>
      </c>
      <c r="O54" s="40">
        <v>5.98</v>
      </c>
      <c r="P54" s="40">
        <v>9.3000000000000007</v>
      </c>
      <c r="Q54" s="40">
        <v>9.7799999999999994</v>
      </c>
      <c r="R54" s="39" t="s">
        <v>107</v>
      </c>
      <c r="S54" s="40">
        <v>8.06</v>
      </c>
      <c r="T54" s="40">
        <v>7.1</v>
      </c>
      <c r="U54" s="40">
        <v>6.56</v>
      </c>
      <c r="V54" s="40">
        <v>6.3</v>
      </c>
      <c r="W54" s="40">
        <v>6.35</v>
      </c>
      <c r="X54" s="48" t="s">
        <v>107</v>
      </c>
      <c r="Y54" s="47"/>
      <c r="Z54" s="47"/>
      <c r="AA54" s="47"/>
      <c r="AB54" s="45"/>
    </row>
    <row r="55" spans="1:28" ht="11.1" customHeight="1" x14ac:dyDescent="0.2">
      <c r="A55" s="37">
        <f t="shared" si="0"/>
        <v>440.55555555555554</v>
      </c>
      <c r="B55" s="38">
        <v>825</v>
      </c>
      <c r="C55" s="40">
        <v>6.97</v>
      </c>
      <c r="D55" s="40">
        <v>6.34</v>
      </c>
      <c r="E55" s="40">
        <v>9.1300000000000008</v>
      </c>
      <c r="F55" s="40">
        <v>5.82</v>
      </c>
      <c r="G55" s="40">
        <v>8.15</v>
      </c>
      <c r="H55" s="40">
        <v>8.16</v>
      </c>
      <c r="I55" s="40">
        <v>6.68</v>
      </c>
      <c r="J55" s="39" t="s">
        <v>107</v>
      </c>
      <c r="K55" s="39" t="s">
        <v>107</v>
      </c>
      <c r="L55" s="39" t="s">
        <v>107</v>
      </c>
      <c r="M55" s="40">
        <v>5.9</v>
      </c>
      <c r="N55" s="39" t="s">
        <v>107</v>
      </c>
      <c r="O55" s="40">
        <v>6.22</v>
      </c>
      <c r="P55" s="40">
        <v>9.64</v>
      </c>
      <c r="Q55" s="40">
        <v>10.17</v>
      </c>
      <c r="R55" s="39" t="s">
        <v>107</v>
      </c>
      <c r="S55" s="40">
        <v>8.35</v>
      </c>
      <c r="T55" s="39" t="s">
        <v>107</v>
      </c>
      <c r="U55" s="40">
        <v>6.81</v>
      </c>
      <c r="V55" s="40">
        <v>6.54</v>
      </c>
      <c r="W55" s="40">
        <v>6.59</v>
      </c>
      <c r="X55" s="48" t="s">
        <v>107</v>
      </c>
      <c r="Y55" s="47"/>
      <c r="Z55" s="47"/>
      <c r="AA55" s="47"/>
      <c r="AB55" s="45"/>
    </row>
    <row r="56" spans="1:28" ht="11.1" customHeight="1" x14ac:dyDescent="0.2">
      <c r="A56" s="37">
        <f t="shared" si="0"/>
        <v>454.44444444444446</v>
      </c>
      <c r="B56" s="38">
        <v>850</v>
      </c>
      <c r="C56" s="40">
        <v>7.25</v>
      </c>
      <c r="D56" s="40">
        <v>6.59</v>
      </c>
      <c r="E56" s="40">
        <v>9.4600000000000009</v>
      </c>
      <c r="F56" s="40">
        <v>6.05</v>
      </c>
      <c r="G56" s="40">
        <v>8.4499999999999993</v>
      </c>
      <c r="H56" s="40">
        <v>8.48</v>
      </c>
      <c r="I56" s="40">
        <v>6.93</v>
      </c>
      <c r="J56" s="39" t="s">
        <v>107</v>
      </c>
      <c r="K56" s="39" t="s">
        <v>107</v>
      </c>
      <c r="L56" s="39" t="s">
        <v>107</v>
      </c>
      <c r="M56" s="40">
        <v>6.1</v>
      </c>
      <c r="N56" s="39" t="s">
        <v>107</v>
      </c>
      <c r="O56" s="40">
        <v>6.47</v>
      </c>
      <c r="P56" s="40">
        <v>9.99</v>
      </c>
      <c r="Q56" s="40">
        <v>10.57</v>
      </c>
      <c r="R56" s="39" t="s">
        <v>107</v>
      </c>
      <c r="S56" s="40">
        <v>8.66</v>
      </c>
      <c r="T56" s="39" t="s">
        <v>107</v>
      </c>
      <c r="U56" s="40">
        <v>7.06</v>
      </c>
      <c r="V56" s="40">
        <v>6.78</v>
      </c>
      <c r="W56" s="40">
        <v>6.85</v>
      </c>
      <c r="X56" s="48" t="s">
        <v>107</v>
      </c>
      <c r="Y56" s="47"/>
      <c r="Z56" s="47"/>
      <c r="AA56" s="47"/>
      <c r="AB56" s="45"/>
    </row>
    <row r="57" spans="1:28" ht="11.1" customHeight="1" x14ac:dyDescent="0.2">
      <c r="A57" s="37">
        <f t="shared" si="0"/>
        <v>468.33333333333331</v>
      </c>
      <c r="B57" s="38">
        <v>875</v>
      </c>
      <c r="C57" s="40">
        <v>7.53</v>
      </c>
      <c r="D57" s="40">
        <v>6.83</v>
      </c>
      <c r="E57" s="40">
        <v>9.7899999999999991</v>
      </c>
      <c r="F57" s="40">
        <v>6.27</v>
      </c>
      <c r="G57" s="40">
        <v>8.75</v>
      </c>
      <c r="H57" s="40">
        <v>8.8000000000000007</v>
      </c>
      <c r="I57" s="40">
        <v>7.18</v>
      </c>
      <c r="J57" s="39" t="s">
        <v>107</v>
      </c>
      <c r="K57" s="39" t="s">
        <v>107</v>
      </c>
      <c r="L57" s="39" t="s">
        <v>107</v>
      </c>
      <c r="M57" s="40">
        <v>6.3</v>
      </c>
      <c r="N57" s="39" t="s">
        <v>107</v>
      </c>
      <c r="O57" s="40">
        <v>6.72</v>
      </c>
      <c r="P57" s="40">
        <v>10.33</v>
      </c>
      <c r="Q57" s="40">
        <v>10.96</v>
      </c>
      <c r="R57" s="39" t="s">
        <v>107</v>
      </c>
      <c r="S57" s="40">
        <v>8.9499999999999993</v>
      </c>
      <c r="T57" s="39" t="s">
        <v>107</v>
      </c>
      <c r="U57" s="40">
        <v>7.31</v>
      </c>
      <c r="V57" s="40">
        <v>7.02</v>
      </c>
      <c r="W57" s="40">
        <v>7.09</v>
      </c>
      <c r="X57" s="48" t="s">
        <v>107</v>
      </c>
      <c r="Y57" s="47"/>
      <c r="Z57" s="47"/>
      <c r="AA57" s="47"/>
      <c r="AB57" s="45"/>
    </row>
    <row r="58" spans="1:28" ht="11.1" customHeight="1" x14ac:dyDescent="0.2">
      <c r="A58" s="37">
        <f t="shared" si="0"/>
        <v>482.22222222222223</v>
      </c>
      <c r="B58" s="38">
        <v>900</v>
      </c>
      <c r="C58" s="40">
        <v>7.81</v>
      </c>
      <c r="D58" s="40">
        <v>7.07</v>
      </c>
      <c r="E58" s="40">
        <v>10.119999999999999</v>
      </c>
      <c r="F58" s="40">
        <v>6.49</v>
      </c>
      <c r="G58" s="40">
        <v>9.0500000000000007</v>
      </c>
      <c r="H58" s="40">
        <v>9.1199999999999992</v>
      </c>
      <c r="I58" s="40">
        <v>7.43</v>
      </c>
      <c r="J58" s="39" t="s">
        <v>107</v>
      </c>
      <c r="K58" s="39" t="s">
        <v>107</v>
      </c>
      <c r="L58" s="39" t="s">
        <v>107</v>
      </c>
      <c r="M58" s="40">
        <v>6.5</v>
      </c>
      <c r="N58" s="39" t="s">
        <v>107</v>
      </c>
      <c r="O58" s="40">
        <v>6.97</v>
      </c>
      <c r="P58" s="40">
        <v>10.68</v>
      </c>
      <c r="Q58" s="40">
        <v>11.35</v>
      </c>
      <c r="R58" s="39" t="s">
        <v>107</v>
      </c>
      <c r="S58" s="40">
        <v>9.26</v>
      </c>
      <c r="T58" s="39" t="s">
        <v>107</v>
      </c>
      <c r="U58" s="40">
        <v>7.57</v>
      </c>
      <c r="V58" s="40">
        <v>7.29</v>
      </c>
      <c r="W58" s="40">
        <v>7.35</v>
      </c>
      <c r="X58" s="48" t="s">
        <v>107</v>
      </c>
      <c r="Y58" s="47"/>
      <c r="Z58" s="47"/>
      <c r="AA58" s="47"/>
      <c r="AB58" s="45"/>
    </row>
    <row r="59" spans="1:28" ht="11.1" customHeight="1" x14ac:dyDescent="0.2">
      <c r="A59" s="37">
        <f t="shared" si="0"/>
        <v>496.11111111111109</v>
      </c>
      <c r="B59" s="38">
        <v>925</v>
      </c>
      <c r="C59" s="40">
        <v>8.08</v>
      </c>
      <c r="D59" s="40">
        <v>7.31</v>
      </c>
      <c r="E59" s="40">
        <v>10.46</v>
      </c>
      <c r="F59" s="40">
        <v>6.71</v>
      </c>
      <c r="G59" s="40">
        <v>9.35</v>
      </c>
      <c r="H59" s="40">
        <v>9.44</v>
      </c>
      <c r="I59" s="40">
        <v>7.68</v>
      </c>
      <c r="J59" s="39" t="s">
        <v>107</v>
      </c>
      <c r="K59" s="39" t="s">
        <v>107</v>
      </c>
      <c r="L59" s="39" t="s">
        <v>107</v>
      </c>
      <c r="M59" s="40">
        <v>6.7</v>
      </c>
      <c r="N59" s="39" t="s">
        <v>107</v>
      </c>
      <c r="O59" s="40">
        <v>7.23</v>
      </c>
      <c r="P59" s="40">
        <v>11.02</v>
      </c>
      <c r="Q59" s="40">
        <v>11.75</v>
      </c>
      <c r="R59" s="39" t="s">
        <v>107</v>
      </c>
      <c r="S59" s="40">
        <v>9.56</v>
      </c>
      <c r="T59" s="39" t="s">
        <v>107</v>
      </c>
      <c r="U59" s="40">
        <v>7.82</v>
      </c>
      <c r="V59" s="40">
        <v>7.51</v>
      </c>
      <c r="W59" s="40">
        <v>7.64</v>
      </c>
      <c r="X59" s="48" t="s">
        <v>107</v>
      </c>
      <c r="Y59" s="47"/>
      <c r="Z59" s="47"/>
      <c r="AA59" s="47"/>
      <c r="AB59" s="45"/>
    </row>
    <row r="60" spans="1:28" ht="11.1" customHeight="1" x14ac:dyDescent="0.2">
      <c r="A60" s="37">
        <f t="shared" si="0"/>
        <v>510</v>
      </c>
      <c r="B60" s="38">
        <v>950</v>
      </c>
      <c r="C60" s="40">
        <v>8.35</v>
      </c>
      <c r="D60" s="40">
        <v>7.56</v>
      </c>
      <c r="E60" s="40">
        <v>10.8</v>
      </c>
      <c r="F60" s="40">
        <v>6.94</v>
      </c>
      <c r="G60" s="40">
        <v>9.65</v>
      </c>
      <c r="H60" s="40">
        <v>9.77</v>
      </c>
      <c r="I60" s="40">
        <v>7.93</v>
      </c>
      <c r="J60" s="39" t="s">
        <v>107</v>
      </c>
      <c r="K60" s="39" t="s">
        <v>107</v>
      </c>
      <c r="L60" s="39" t="s">
        <v>107</v>
      </c>
      <c r="M60" s="40">
        <v>6.9</v>
      </c>
      <c r="N60" s="39" t="s">
        <v>107</v>
      </c>
      <c r="O60" s="40">
        <v>7.5</v>
      </c>
      <c r="P60" s="40">
        <v>11.37</v>
      </c>
      <c r="Q60" s="40">
        <v>12.16</v>
      </c>
      <c r="R60" s="39" t="s">
        <v>107</v>
      </c>
      <c r="S60" s="40">
        <v>9.8699999999999992</v>
      </c>
      <c r="T60" s="39" t="s">
        <v>107</v>
      </c>
      <c r="U60" s="40">
        <v>8.08</v>
      </c>
      <c r="V60" s="40">
        <v>7.76</v>
      </c>
      <c r="W60" s="40">
        <v>7.86</v>
      </c>
      <c r="X60" s="48" t="s">
        <v>107</v>
      </c>
      <c r="Y60" s="47"/>
      <c r="Z60" s="47"/>
      <c r="AA60" s="47"/>
      <c r="AB60" s="45"/>
    </row>
    <row r="61" spans="1:28" ht="11.1" customHeight="1" x14ac:dyDescent="0.2">
      <c r="A61" s="37">
        <f t="shared" si="0"/>
        <v>523.88888888888891</v>
      </c>
      <c r="B61" s="38">
        <v>975</v>
      </c>
      <c r="C61" s="40">
        <v>8.6199999999999992</v>
      </c>
      <c r="D61" s="40">
        <v>7.81</v>
      </c>
      <c r="E61" s="40">
        <v>11.14</v>
      </c>
      <c r="F61" s="40">
        <v>7.17</v>
      </c>
      <c r="G61" s="40">
        <v>9.9499999999999993</v>
      </c>
      <c r="H61" s="40">
        <v>10.09</v>
      </c>
      <c r="I61" s="40">
        <v>8.17</v>
      </c>
      <c r="J61" s="39" t="s">
        <v>107</v>
      </c>
      <c r="K61" s="39" t="s">
        <v>107</v>
      </c>
      <c r="L61" s="39" t="s">
        <v>107</v>
      </c>
      <c r="M61" s="40">
        <v>7.1</v>
      </c>
      <c r="N61" s="39" t="s">
        <v>107</v>
      </c>
      <c r="O61" s="40">
        <v>7.76</v>
      </c>
      <c r="P61" s="40">
        <v>11.71</v>
      </c>
      <c r="Q61" s="40">
        <v>12.57</v>
      </c>
      <c r="R61" s="39" t="s">
        <v>107</v>
      </c>
      <c r="S61" s="40">
        <v>10.18</v>
      </c>
      <c r="T61" s="39" t="s">
        <v>107</v>
      </c>
      <c r="U61" s="40">
        <v>8.34</v>
      </c>
      <c r="V61" s="40">
        <v>8.01</v>
      </c>
      <c r="W61" s="40">
        <v>8.11</v>
      </c>
      <c r="X61" s="48" t="s">
        <v>107</v>
      </c>
      <c r="Y61" s="47"/>
      <c r="Z61" s="47"/>
      <c r="AA61" s="47"/>
      <c r="AB61" s="45"/>
    </row>
    <row r="62" spans="1:28" ht="11.1" customHeight="1" x14ac:dyDescent="0.2">
      <c r="A62" s="37">
        <f t="shared" si="0"/>
        <v>537.77777777777771</v>
      </c>
      <c r="B62" s="38">
        <v>1000</v>
      </c>
      <c r="C62" s="40">
        <v>8.89</v>
      </c>
      <c r="D62" s="40">
        <v>8.06</v>
      </c>
      <c r="E62" s="40">
        <v>11.48</v>
      </c>
      <c r="F62" s="40">
        <v>7.4</v>
      </c>
      <c r="G62" s="40">
        <v>10.25</v>
      </c>
      <c r="H62" s="40">
        <v>10.42</v>
      </c>
      <c r="I62" s="40">
        <v>8.41</v>
      </c>
      <c r="J62" s="39" t="s">
        <v>107</v>
      </c>
      <c r="K62" s="39" t="s">
        <v>107</v>
      </c>
      <c r="L62" s="39" t="s">
        <v>107</v>
      </c>
      <c r="M62" s="40">
        <v>7.3</v>
      </c>
      <c r="N62" s="39" t="s">
        <v>107</v>
      </c>
      <c r="O62" s="40">
        <v>8.02</v>
      </c>
      <c r="P62" s="40">
        <v>12.05</v>
      </c>
      <c r="Q62" s="40">
        <v>12.98</v>
      </c>
      <c r="R62" s="39" t="s">
        <v>107</v>
      </c>
      <c r="S62" s="40">
        <v>10.49</v>
      </c>
      <c r="T62" s="39" t="s">
        <v>107</v>
      </c>
      <c r="U62" s="40">
        <v>8.6</v>
      </c>
      <c r="V62" s="40">
        <v>8.26</v>
      </c>
      <c r="W62" s="40">
        <v>8.35</v>
      </c>
      <c r="X62" s="48" t="s">
        <v>107</v>
      </c>
      <c r="Y62" s="47"/>
      <c r="Z62" s="47"/>
      <c r="AA62" s="47"/>
      <c r="AB62" s="45"/>
    </row>
    <row r="63" spans="1:28" ht="11.1" customHeight="1" x14ac:dyDescent="0.2">
      <c r="A63" s="37">
        <f t="shared" si="0"/>
        <v>551.66666666666663</v>
      </c>
      <c r="B63" s="38">
        <v>1025</v>
      </c>
      <c r="C63" s="40">
        <v>9.17</v>
      </c>
      <c r="D63" s="40">
        <v>8.3000000000000007</v>
      </c>
      <c r="E63" s="40">
        <v>11.82</v>
      </c>
      <c r="F63" s="40">
        <v>7.62</v>
      </c>
      <c r="G63" s="40">
        <v>10.55</v>
      </c>
      <c r="H63" s="40">
        <v>10.75</v>
      </c>
      <c r="I63" s="39" t="s">
        <v>107</v>
      </c>
      <c r="J63" s="39" t="s">
        <v>107</v>
      </c>
      <c r="K63" s="39" t="s">
        <v>107</v>
      </c>
      <c r="L63" s="39" t="s">
        <v>107</v>
      </c>
      <c r="M63" s="40">
        <v>7.5</v>
      </c>
      <c r="N63" s="39" t="s">
        <v>107</v>
      </c>
      <c r="O63" s="39" t="s">
        <v>107</v>
      </c>
      <c r="P63" s="40">
        <v>12.4</v>
      </c>
      <c r="Q63" s="40">
        <v>13.39</v>
      </c>
      <c r="R63" s="39" t="s">
        <v>107</v>
      </c>
      <c r="S63" s="40">
        <v>10.8</v>
      </c>
      <c r="T63" s="39" t="s">
        <v>107</v>
      </c>
      <c r="U63" s="40">
        <v>8.8699999999999992</v>
      </c>
      <c r="V63" s="40">
        <v>8.52</v>
      </c>
      <c r="W63" s="39" t="s">
        <v>107</v>
      </c>
      <c r="X63" s="48" t="s">
        <v>107</v>
      </c>
      <c r="Y63" s="47"/>
      <c r="Z63" s="47"/>
      <c r="AA63" s="47"/>
      <c r="AB63" s="45"/>
    </row>
    <row r="64" spans="1:28" ht="11.1" customHeight="1" x14ac:dyDescent="0.2">
      <c r="A64" s="37">
        <f t="shared" si="0"/>
        <v>565.55555555555554</v>
      </c>
      <c r="B64" s="38">
        <v>1050</v>
      </c>
      <c r="C64" s="40">
        <v>9.4600000000000009</v>
      </c>
      <c r="D64" s="40">
        <v>8.5500000000000007</v>
      </c>
      <c r="E64" s="40">
        <v>12.16</v>
      </c>
      <c r="F64" s="40">
        <v>7.95</v>
      </c>
      <c r="G64" s="40">
        <v>10.85</v>
      </c>
      <c r="H64" s="40">
        <v>11.09</v>
      </c>
      <c r="I64" s="39" t="s">
        <v>107</v>
      </c>
      <c r="J64" s="39" t="s">
        <v>107</v>
      </c>
      <c r="K64" s="39" t="s">
        <v>107</v>
      </c>
      <c r="L64" s="39" t="s">
        <v>107</v>
      </c>
      <c r="M64" s="40">
        <v>7.7</v>
      </c>
      <c r="N64" s="39" t="s">
        <v>107</v>
      </c>
      <c r="O64" s="39" t="s">
        <v>107</v>
      </c>
      <c r="P64" s="40">
        <v>12.76</v>
      </c>
      <c r="Q64" s="40">
        <v>13.81</v>
      </c>
      <c r="R64" s="39" t="s">
        <v>107</v>
      </c>
      <c r="S64" s="40">
        <v>11.11</v>
      </c>
      <c r="T64" s="39" t="s">
        <v>107</v>
      </c>
      <c r="U64" s="40">
        <v>9.1300000000000008</v>
      </c>
      <c r="V64" s="40">
        <v>8.77</v>
      </c>
      <c r="W64" s="39" t="s">
        <v>107</v>
      </c>
      <c r="X64" s="48" t="s">
        <v>107</v>
      </c>
      <c r="Y64" s="47"/>
      <c r="Z64" s="47"/>
      <c r="AA64" s="47"/>
      <c r="AB64" s="45"/>
    </row>
    <row r="65" spans="1:51" ht="11.1" customHeight="1" x14ac:dyDescent="0.2">
      <c r="A65" s="37">
        <f t="shared" si="0"/>
        <v>579.44444444444446</v>
      </c>
      <c r="B65" s="38">
        <v>1075</v>
      </c>
      <c r="C65" s="40">
        <v>9.75</v>
      </c>
      <c r="D65" s="40">
        <v>8.8000000000000007</v>
      </c>
      <c r="E65" s="40">
        <v>12.5</v>
      </c>
      <c r="F65" s="40">
        <v>8.18</v>
      </c>
      <c r="G65" s="40">
        <v>11.15</v>
      </c>
      <c r="H65" s="40">
        <v>11.43</v>
      </c>
      <c r="I65" s="39" t="s">
        <v>107</v>
      </c>
      <c r="J65" s="39" t="s">
        <v>107</v>
      </c>
      <c r="K65" s="39" t="s">
        <v>107</v>
      </c>
      <c r="L65" s="39" t="s">
        <v>107</v>
      </c>
      <c r="M65" s="40">
        <v>7.9</v>
      </c>
      <c r="N65" s="39" t="s">
        <v>107</v>
      </c>
      <c r="O65" s="39" t="s">
        <v>107</v>
      </c>
      <c r="P65" s="40">
        <v>13.11</v>
      </c>
      <c r="Q65" s="40">
        <v>14.23</v>
      </c>
      <c r="R65" s="39" t="s">
        <v>107</v>
      </c>
      <c r="S65" s="40">
        <v>11.42</v>
      </c>
      <c r="T65" s="39" t="s">
        <v>107</v>
      </c>
      <c r="U65" s="40">
        <v>9.4</v>
      </c>
      <c r="V65" s="40">
        <v>9.02</v>
      </c>
      <c r="W65" s="39" t="s">
        <v>107</v>
      </c>
      <c r="X65" s="48" t="s">
        <v>107</v>
      </c>
      <c r="Y65" s="47"/>
      <c r="Z65" s="47"/>
      <c r="AA65" s="47"/>
      <c r="AB65" s="45"/>
    </row>
    <row r="66" spans="1:51" ht="11.1" customHeight="1" x14ac:dyDescent="0.2">
      <c r="A66" s="37">
        <f t="shared" si="0"/>
        <v>593.33333333333337</v>
      </c>
      <c r="B66" s="38">
        <v>1100</v>
      </c>
      <c r="C66" s="40">
        <v>10.039999999999999</v>
      </c>
      <c r="D66" s="40">
        <v>9.0500000000000007</v>
      </c>
      <c r="E66" s="40">
        <v>12.84</v>
      </c>
      <c r="F66" s="40">
        <v>8.31</v>
      </c>
      <c r="G66" s="40">
        <v>11.45</v>
      </c>
      <c r="H66" s="40">
        <v>11.77</v>
      </c>
      <c r="I66" s="39" t="s">
        <v>107</v>
      </c>
      <c r="J66" s="39" t="s">
        <v>107</v>
      </c>
      <c r="K66" s="39" t="s">
        <v>107</v>
      </c>
      <c r="L66" s="39" t="s">
        <v>107</v>
      </c>
      <c r="M66" s="40">
        <v>8.1</v>
      </c>
      <c r="N66" s="39" t="s">
        <v>107</v>
      </c>
      <c r="O66" s="39" t="s">
        <v>107</v>
      </c>
      <c r="P66" s="40">
        <v>13.47</v>
      </c>
      <c r="Q66" s="40">
        <v>14.65</v>
      </c>
      <c r="R66" s="39" t="s">
        <v>107</v>
      </c>
      <c r="S66" s="40">
        <v>11.74</v>
      </c>
      <c r="T66" s="39" t="s">
        <v>107</v>
      </c>
      <c r="U66" s="40">
        <v>9.67</v>
      </c>
      <c r="V66" s="40">
        <v>9.2799999999999994</v>
      </c>
      <c r="W66" s="39" t="s">
        <v>107</v>
      </c>
      <c r="X66" s="48" t="s">
        <v>107</v>
      </c>
      <c r="Y66" s="47"/>
      <c r="Z66" s="47"/>
      <c r="AA66" s="47"/>
      <c r="AB66" s="45"/>
      <c r="AY66" s="49"/>
    </row>
    <row r="67" spans="1:51" ht="11.1" customHeight="1" x14ac:dyDescent="0.2">
      <c r="A67" s="37">
        <f t="shared" si="0"/>
        <v>607.22222222222217</v>
      </c>
      <c r="B67" s="38">
        <v>1125</v>
      </c>
      <c r="C67" s="40">
        <v>10.31</v>
      </c>
      <c r="D67" s="40">
        <v>9.2799999999999994</v>
      </c>
      <c r="E67" s="40">
        <v>13.18</v>
      </c>
      <c r="F67" s="40">
        <v>8.5299999999999994</v>
      </c>
      <c r="G67" s="40">
        <v>11.78</v>
      </c>
      <c r="H67" s="40">
        <v>12.11</v>
      </c>
      <c r="I67" s="39" t="s">
        <v>107</v>
      </c>
      <c r="J67" s="39" t="s">
        <v>107</v>
      </c>
      <c r="K67" s="39" t="s">
        <v>107</v>
      </c>
      <c r="L67" s="39" t="s">
        <v>107</v>
      </c>
      <c r="M67" s="40">
        <v>8.3000000000000007</v>
      </c>
      <c r="N67" s="39" t="s">
        <v>107</v>
      </c>
      <c r="O67" s="39" t="s">
        <v>107</v>
      </c>
      <c r="P67" s="39" t="s">
        <v>107</v>
      </c>
      <c r="Q67" s="39" t="s">
        <v>107</v>
      </c>
      <c r="R67" s="39" t="s">
        <v>107</v>
      </c>
      <c r="S67" s="40">
        <v>12.05</v>
      </c>
      <c r="T67" s="39" t="s">
        <v>107</v>
      </c>
      <c r="U67" s="40">
        <v>9.94</v>
      </c>
      <c r="V67" s="40">
        <v>9.5299999999999994</v>
      </c>
      <c r="W67" s="39" t="s">
        <v>107</v>
      </c>
      <c r="X67" s="48" t="s">
        <v>107</v>
      </c>
      <c r="Y67" s="47"/>
      <c r="Z67" s="47"/>
      <c r="AA67" s="47"/>
      <c r="AB67" s="45"/>
    </row>
    <row r="68" spans="1:51" ht="11.1" customHeight="1" x14ac:dyDescent="0.2">
      <c r="A68" s="37">
        <f t="shared" si="0"/>
        <v>621.11111111111109</v>
      </c>
      <c r="B68" s="38">
        <v>1150</v>
      </c>
      <c r="C68" s="40">
        <v>10.57</v>
      </c>
      <c r="D68" s="40">
        <v>9.52</v>
      </c>
      <c r="E68" s="40">
        <v>13.52</v>
      </c>
      <c r="F68" s="40">
        <v>8.76</v>
      </c>
      <c r="G68" s="40">
        <v>12.11</v>
      </c>
      <c r="H68" s="40">
        <v>12.47</v>
      </c>
      <c r="I68" s="39" t="s">
        <v>107</v>
      </c>
      <c r="J68" s="39" t="s">
        <v>107</v>
      </c>
      <c r="K68" s="39" t="s">
        <v>107</v>
      </c>
      <c r="L68" s="39" t="s">
        <v>107</v>
      </c>
      <c r="M68" s="40">
        <v>8.5</v>
      </c>
      <c r="N68" s="39" t="s">
        <v>107</v>
      </c>
      <c r="O68" s="39" t="s">
        <v>107</v>
      </c>
      <c r="P68" s="39" t="s">
        <v>107</v>
      </c>
      <c r="Q68" s="39" t="s">
        <v>107</v>
      </c>
      <c r="R68" s="39" t="s">
        <v>107</v>
      </c>
      <c r="S68" s="40">
        <v>12.38</v>
      </c>
      <c r="T68" s="39" t="s">
        <v>107</v>
      </c>
      <c r="U68" s="40">
        <v>10.210000000000001</v>
      </c>
      <c r="V68" s="40">
        <v>9.7899999999999991</v>
      </c>
      <c r="W68" s="39" t="s">
        <v>107</v>
      </c>
      <c r="X68" s="48" t="s">
        <v>107</v>
      </c>
      <c r="Y68" s="47"/>
      <c r="Z68" s="47"/>
      <c r="AA68" s="47"/>
      <c r="AB68" s="45"/>
    </row>
    <row r="69" spans="1:51" ht="11.1" customHeight="1" x14ac:dyDescent="0.2">
      <c r="A69" s="37">
        <f t="shared" si="0"/>
        <v>635</v>
      </c>
      <c r="B69" s="38">
        <v>1175</v>
      </c>
      <c r="C69" s="40">
        <v>10.83</v>
      </c>
      <c r="D69" s="40">
        <v>9.76</v>
      </c>
      <c r="E69" s="40">
        <v>13.86</v>
      </c>
      <c r="F69" s="40">
        <v>8.98</v>
      </c>
      <c r="G69" s="40">
        <v>12.44</v>
      </c>
      <c r="H69" s="40">
        <v>12.81</v>
      </c>
      <c r="I69" s="39" t="s">
        <v>107</v>
      </c>
      <c r="J69" s="39" t="s">
        <v>107</v>
      </c>
      <c r="K69" s="39" t="s">
        <v>107</v>
      </c>
      <c r="L69" s="39" t="s">
        <v>107</v>
      </c>
      <c r="M69" s="40">
        <v>8.75</v>
      </c>
      <c r="N69" s="39" t="s">
        <v>107</v>
      </c>
      <c r="O69" s="39" t="s">
        <v>107</v>
      </c>
      <c r="P69" s="39" t="s">
        <v>107</v>
      </c>
      <c r="Q69" s="39" t="s">
        <v>107</v>
      </c>
      <c r="R69" s="39" t="s">
        <v>107</v>
      </c>
      <c r="S69" s="40">
        <v>12.69</v>
      </c>
      <c r="T69" s="39" t="s">
        <v>107</v>
      </c>
      <c r="U69" s="40">
        <v>10.48</v>
      </c>
      <c r="V69" s="40">
        <v>10.050000000000001</v>
      </c>
      <c r="W69" s="39" t="s">
        <v>107</v>
      </c>
      <c r="X69" s="48" t="s">
        <v>107</v>
      </c>
      <c r="Y69" s="47"/>
      <c r="Z69" s="47"/>
      <c r="AA69" s="47"/>
      <c r="AB69" s="45"/>
    </row>
    <row r="70" spans="1:51" ht="11.1" customHeight="1" x14ac:dyDescent="0.2">
      <c r="A70" s="37">
        <f t="shared" ref="A70:A82" si="1">CONVERT(B70,"F","C")</f>
        <v>648.88888888888891</v>
      </c>
      <c r="B70" s="38">
        <v>1200</v>
      </c>
      <c r="C70" s="40">
        <v>11.1</v>
      </c>
      <c r="D70" s="40">
        <v>10</v>
      </c>
      <c r="E70" s="40">
        <v>14.2</v>
      </c>
      <c r="F70" s="40">
        <v>9.1999999999999993</v>
      </c>
      <c r="G70" s="40">
        <v>12.77</v>
      </c>
      <c r="H70" s="40">
        <v>13.15</v>
      </c>
      <c r="I70" s="39" t="s">
        <v>107</v>
      </c>
      <c r="J70" s="39" t="s">
        <v>107</v>
      </c>
      <c r="K70" s="39" t="s">
        <v>107</v>
      </c>
      <c r="L70" s="39" t="s">
        <v>107</v>
      </c>
      <c r="M70" s="40">
        <v>9</v>
      </c>
      <c r="N70" s="39" t="s">
        <v>107</v>
      </c>
      <c r="O70" s="39" t="s">
        <v>107</v>
      </c>
      <c r="P70" s="39" t="s">
        <v>107</v>
      </c>
      <c r="Q70" s="39" t="s">
        <v>107</v>
      </c>
      <c r="R70" s="39" t="s">
        <v>107</v>
      </c>
      <c r="S70" s="40">
        <v>13.02</v>
      </c>
      <c r="T70" s="39" t="s">
        <v>107</v>
      </c>
      <c r="U70" s="40">
        <v>10.75</v>
      </c>
      <c r="V70" s="40">
        <v>10.3</v>
      </c>
      <c r="W70" s="39" t="s">
        <v>107</v>
      </c>
      <c r="X70" s="48" t="s">
        <v>107</v>
      </c>
      <c r="Y70" s="47"/>
      <c r="Z70" s="47"/>
      <c r="AA70" s="47"/>
      <c r="AB70" s="45"/>
    </row>
    <row r="71" spans="1:51" ht="11.1" customHeight="1" x14ac:dyDescent="0.2">
      <c r="A71" s="37">
        <f t="shared" si="1"/>
        <v>662.77777777777771</v>
      </c>
      <c r="B71" s="38">
        <v>1225</v>
      </c>
      <c r="C71" s="40">
        <v>11.38</v>
      </c>
      <c r="D71" s="40">
        <v>10.26</v>
      </c>
      <c r="E71" s="40">
        <v>14.54</v>
      </c>
      <c r="F71" s="40">
        <v>9.42</v>
      </c>
      <c r="G71" s="40">
        <v>13.1</v>
      </c>
      <c r="H71" s="40">
        <v>13.5</v>
      </c>
      <c r="I71" s="39" t="s">
        <v>107</v>
      </c>
      <c r="J71" s="39" t="s">
        <v>107</v>
      </c>
      <c r="K71" s="39" t="s">
        <v>107</v>
      </c>
      <c r="L71" s="39" t="s">
        <v>107</v>
      </c>
      <c r="M71" s="40">
        <v>9.1999999999999993</v>
      </c>
      <c r="N71" s="39" t="s">
        <v>107</v>
      </c>
      <c r="O71" s="39" t="s">
        <v>107</v>
      </c>
      <c r="P71" s="39" t="s">
        <v>107</v>
      </c>
      <c r="Q71" s="39" t="s">
        <v>107</v>
      </c>
      <c r="R71" s="39" t="s">
        <v>107</v>
      </c>
      <c r="S71" s="40">
        <v>13.36</v>
      </c>
      <c r="T71" s="39" t="s">
        <v>107</v>
      </c>
      <c r="U71" s="39" t="s">
        <v>107</v>
      </c>
      <c r="V71" s="39" t="s">
        <v>107</v>
      </c>
      <c r="W71" s="39" t="s">
        <v>107</v>
      </c>
      <c r="X71" s="48" t="s">
        <v>107</v>
      </c>
      <c r="Y71" s="47"/>
      <c r="Z71" s="47"/>
      <c r="AA71" s="47"/>
      <c r="AB71" s="45"/>
    </row>
    <row r="72" spans="1:51" ht="11.1" customHeight="1" x14ac:dyDescent="0.2">
      <c r="A72" s="37">
        <f t="shared" si="1"/>
        <v>676.66666666666663</v>
      </c>
      <c r="B72" s="38">
        <v>1250</v>
      </c>
      <c r="C72" s="40">
        <v>11.66</v>
      </c>
      <c r="D72" s="40">
        <v>10.53</v>
      </c>
      <c r="E72" s="40">
        <v>14.88</v>
      </c>
      <c r="F72" s="40">
        <v>9.65</v>
      </c>
      <c r="G72" s="40">
        <v>13.43</v>
      </c>
      <c r="H72" s="40">
        <v>13.86</v>
      </c>
      <c r="I72" s="39" t="s">
        <v>107</v>
      </c>
      <c r="J72" s="39" t="s">
        <v>107</v>
      </c>
      <c r="K72" s="39" t="s">
        <v>107</v>
      </c>
      <c r="L72" s="39" t="s">
        <v>107</v>
      </c>
      <c r="M72" s="40">
        <v>9.4</v>
      </c>
      <c r="N72" s="39" t="s">
        <v>107</v>
      </c>
      <c r="O72" s="39" t="s">
        <v>107</v>
      </c>
      <c r="P72" s="39" t="s">
        <v>107</v>
      </c>
      <c r="Q72" s="39" t="s">
        <v>107</v>
      </c>
      <c r="R72" s="39" t="s">
        <v>107</v>
      </c>
      <c r="S72" s="40">
        <v>13.71</v>
      </c>
      <c r="T72" s="39" t="s">
        <v>107</v>
      </c>
      <c r="U72" s="39" t="s">
        <v>107</v>
      </c>
      <c r="V72" s="39" t="s">
        <v>107</v>
      </c>
      <c r="W72" s="39" t="s">
        <v>107</v>
      </c>
      <c r="X72" s="48" t="s">
        <v>107</v>
      </c>
      <c r="Y72" s="47"/>
      <c r="Z72" s="47"/>
      <c r="AA72" s="47"/>
      <c r="AB72" s="45"/>
    </row>
    <row r="73" spans="1:51" ht="11.1" customHeight="1" x14ac:dyDescent="0.2">
      <c r="A73" s="37">
        <f t="shared" si="1"/>
        <v>690.55555555555554</v>
      </c>
      <c r="B73" s="38">
        <v>1275</v>
      </c>
      <c r="C73" s="40">
        <v>11.94</v>
      </c>
      <c r="D73" s="40">
        <v>10.79</v>
      </c>
      <c r="E73" s="40">
        <v>15.22</v>
      </c>
      <c r="F73" s="40">
        <v>9.8800000000000008</v>
      </c>
      <c r="G73" s="40">
        <v>13.76</v>
      </c>
      <c r="H73" s="40">
        <v>14.22</v>
      </c>
      <c r="I73" s="39" t="s">
        <v>107</v>
      </c>
      <c r="J73" s="39" t="s">
        <v>107</v>
      </c>
      <c r="K73" s="39" t="s">
        <v>107</v>
      </c>
      <c r="L73" s="39" t="s">
        <v>107</v>
      </c>
      <c r="M73" s="40">
        <v>9.65</v>
      </c>
      <c r="N73" s="39" t="s">
        <v>107</v>
      </c>
      <c r="O73" s="39" t="s">
        <v>107</v>
      </c>
      <c r="P73" s="39" t="s">
        <v>107</v>
      </c>
      <c r="Q73" s="39" t="s">
        <v>107</v>
      </c>
      <c r="R73" s="39" t="s">
        <v>107</v>
      </c>
      <c r="S73" s="40">
        <v>14.04</v>
      </c>
      <c r="T73" s="39" t="s">
        <v>107</v>
      </c>
      <c r="U73" s="39" t="s">
        <v>107</v>
      </c>
      <c r="V73" s="39" t="s">
        <v>107</v>
      </c>
      <c r="W73" s="39" t="s">
        <v>107</v>
      </c>
      <c r="X73" s="48" t="s">
        <v>107</v>
      </c>
      <c r="Y73" s="47"/>
      <c r="Z73" s="47"/>
      <c r="AA73" s="47"/>
      <c r="AB73" s="45"/>
    </row>
    <row r="74" spans="1:51" ht="11.1" customHeight="1" x14ac:dyDescent="0.2">
      <c r="A74" s="37">
        <f t="shared" si="1"/>
        <v>704.44444444444446</v>
      </c>
      <c r="B74" s="38">
        <v>1300</v>
      </c>
      <c r="C74" s="40">
        <v>12.22</v>
      </c>
      <c r="D74" s="40">
        <v>11.06</v>
      </c>
      <c r="E74" s="40">
        <v>15.56</v>
      </c>
      <c r="F74" s="40">
        <v>10.11</v>
      </c>
      <c r="G74" s="40">
        <v>14.09</v>
      </c>
      <c r="H74" s="40">
        <v>14.58</v>
      </c>
      <c r="I74" s="39" t="s">
        <v>107</v>
      </c>
      <c r="J74" s="39" t="s">
        <v>107</v>
      </c>
      <c r="K74" s="39" t="s">
        <v>107</v>
      </c>
      <c r="L74" s="39" t="s">
        <v>107</v>
      </c>
      <c r="M74" s="40">
        <v>9.9</v>
      </c>
      <c r="N74" s="39" t="s">
        <v>107</v>
      </c>
      <c r="O74" s="39" t="s">
        <v>107</v>
      </c>
      <c r="P74" s="39" t="s">
        <v>107</v>
      </c>
      <c r="Q74" s="39" t="s">
        <v>107</v>
      </c>
      <c r="R74" s="39" t="s">
        <v>107</v>
      </c>
      <c r="S74" s="40">
        <v>14.39</v>
      </c>
      <c r="T74" s="39" t="s">
        <v>107</v>
      </c>
      <c r="U74" s="39" t="s">
        <v>107</v>
      </c>
      <c r="V74" s="39" t="s">
        <v>107</v>
      </c>
      <c r="W74" s="39" t="s">
        <v>107</v>
      </c>
      <c r="X74" s="48" t="s">
        <v>107</v>
      </c>
      <c r="Y74" s="47"/>
      <c r="Z74" s="47"/>
      <c r="AA74" s="47"/>
      <c r="AB74" s="45"/>
    </row>
    <row r="75" spans="1:51" ht="11.1" customHeight="1" x14ac:dyDescent="0.2">
      <c r="A75" s="37">
        <f t="shared" si="1"/>
        <v>718.33333333333337</v>
      </c>
      <c r="B75" s="38">
        <v>1325</v>
      </c>
      <c r="C75" s="40">
        <v>12.5</v>
      </c>
      <c r="D75" s="40">
        <v>11.3</v>
      </c>
      <c r="E75" s="40">
        <v>15.9</v>
      </c>
      <c r="F75" s="40">
        <v>10.33</v>
      </c>
      <c r="G75" s="40">
        <v>14.39</v>
      </c>
      <c r="H75" s="40">
        <v>14.94</v>
      </c>
      <c r="I75" s="39" t="s">
        <v>107</v>
      </c>
      <c r="J75" s="39" t="s">
        <v>107</v>
      </c>
      <c r="K75" s="39" t="s">
        <v>107</v>
      </c>
      <c r="L75" s="39" t="s">
        <v>107</v>
      </c>
      <c r="M75" s="40">
        <v>10.1</v>
      </c>
      <c r="N75" s="39" t="s">
        <v>107</v>
      </c>
      <c r="O75" s="39" t="s">
        <v>107</v>
      </c>
      <c r="P75" s="39" t="s">
        <v>107</v>
      </c>
      <c r="Q75" s="39" t="s">
        <v>107</v>
      </c>
      <c r="R75" s="39" t="s">
        <v>107</v>
      </c>
      <c r="S75" s="40">
        <v>14.74</v>
      </c>
      <c r="T75" s="39" t="s">
        <v>107</v>
      </c>
      <c r="U75" s="39" t="s">
        <v>107</v>
      </c>
      <c r="V75" s="39" t="s">
        <v>107</v>
      </c>
      <c r="W75" s="39" t="s">
        <v>107</v>
      </c>
      <c r="X75" s="48" t="s">
        <v>107</v>
      </c>
      <c r="Y75" s="47"/>
      <c r="Z75" s="47"/>
      <c r="AA75" s="47"/>
      <c r="AB75" s="45"/>
    </row>
    <row r="76" spans="1:51" ht="11.1" customHeight="1" x14ac:dyDescent="0.2">
      <c r="A76" s="37">
        <f t="shared" si="1"/>
        <v>732.22222222222217</v>
      </c>
      <c r="B76" s="38">
        <v>1350</v>
      </c>
      <c r="C76" s="40">
        <v>12.78</v>
      </c>
      <c r="D76" s="40">
        <v>11.55</v>
      </c>
      <c r="E76" s="40">
        <v>16.239999999999998</v>
      </c>
      <c r="F76" s="40">
        <v>10.56</v>
      </c>
      <c r="G76" s="40">
        <v>14.69</v>
      </c>
      <c r="H76" s="40">
        <v>15.3</v>
      </c>
      <c r="I76" s="39" t="s">
        <v>107</v>
      </c>
      <c r="J76" s="39" t="s">
        <v>107</v>
      </c>
      <c r="K76" s="39" t="s">
        <v>107</v>
      </c>
      <c r="L76" s="39" t="s">
        <v>107</v>
      </c>
      <c r="M76" s="40">
        <v>10.5</v>
      </c>
      <c r="N76" s="39" t="s">
        <v>107</v>
      </c>
      <c r="O76" s="39" t="s">
        <v>107</v>
      </c>
      <c r="P76" s="39" t="s">
        <v>107</v>
      </c>
      <c r="Q76" s="39" t="s">
        <v>107</v>
      </c>
      <c r="R76" s="39" t="s">
        <v>107</v>
      </c>
      <c r="S76" s="40">
        <v>15.1</v>
      </c>
      <c r="T76" s="39" t="s">
        <v>107</v>
      </c>
      <c r="U76" s="39" t="s">
        <v>107</v>
      </c>
      <c r="V76" s="39" t="s">
        <v>107</v>
      </c>
      <c r="W76" s="39" t="s">
        <v>107</v>
      </c>
      <c r="X76" s="48" t="s">
        <v>107</v>
      </c>
      <c r="Y76" s="47"/>
      <c r="Z76" s="47"/>
      <c r="AA76" s="47"/>
      <c r="AB76" s="45"/>
    </row>
    <row r="77" spans="1:51" ht="11.1" customHeight="1" x14ac:dyDescent="0.2">
      <c r="A77" s="37">
        <f t="shared" si="1"/>
        <v>746.11111111111109</v>
      </c>
      <c r="B77" s="38">
        <v>1375</v>
      </c>
      <c r="C77" s="40">
        <v>13.06</v>
      </c>
      <c r="D77" s="40">
        <v>11.8</v>
      </c>
      <c r="E77" s="40">
        <v>16.579999999999998</v>
      </c>
      <c r="F77" s="40">
        <v>10.78</v>
      </c>
      <c r="G77" s="40">
        <v>14.99</v>
      </c>
      <c r="H77" s="40">
        <v>15.66</v>
      </c>
      <c r="I77" s="39" t="s">
        <v>107</v>
      </c>
      <c r="J77" s="39" t="s">
        <v>107</v>
      </c>
      <c r="K77" s="39" t="s">
        <v>107</v>
      </c>
      <c r="L77" s="39" t="s">
        <v>107</v>
      </c>
      <c r="M77" s="40">
        <v>10.8</v>
      </c>
      <c r="N77" s="39" t="s">
        <v>107</v>
      </c>
      <c r="O77" s="39" t="s">
        <v>107</v>
      </c>
      <c r="P77" s="39" t="s">
        <v>107</v>
      </c>
      <c r="Q77" s="39" t="s">
        <v>107</v>
      </c>
      <c r="R77" s="39" t="s">
        <v>107</v>
      </c>
      <c r="S77" s="40">
        <v>15.44</v>
      </c>
      <c r="T77" s="39" t="s">
        <v>107</v>
      </c>
      <c r="U77" s="39" t="s">
        <v>107</v>
      </c>
      <c r="V77" s="39" t="s">
        <v>107</v>
      </c>
      <c r="W77" s="39" t="s">
        <v>107</v>
      </c>
      <c r="X77" s="48" t="s">
        <v>107</v>
      </c>
      <c r="Y77" s="47"/>
      <c r="Z77" s="47"/>
      <c r="AA77" s="47"/>
      <c r="AB77" s="45"/>
    </row>
    <row r="78" spans="1:51" ht="11.1" customHeight="1" x14ac:dyDescent="0.2">
      <c r="A78" s="37">
        <f t="shared" si="1"/>
        <v>760</v>
      </c>
      <c r="B78" s="38">
        <v>1400</v>
      </c>
      <c r="C78" s="40">
        <v>13.34</v>
      </c>
      <c r="D78" s="40">
        <v>12.05</v>
      </c>
      <c r="E78" s="40">
        <v>16.920000000000002</v>
      </c>
      <c r="F78" s="40">
        <v>11.01</v>
      </c>
      <c r="G78" s="40">
        <v>15.29</v>
      </c>
      <c r="H78" s="40">
        <v>16.02</v>
      </c>
      <c r="I78" s="39" t="s">
        <v>107</v>
      </c>
      <c r="J78" s="39" t="s">
        <v>107</v>
      </c>
      <c r="K78" s="39" t="s">
        <v>107</v>
      </c>
      <c r="L78" s="39" t="s">
        <v>107</v>
      </c>
      <c r="M78" s="40">
        <v>11.1</v>
      </c>
      <c r="N78" s="39" t="s">
        <v>107</v>
      </c>
      <c r="O78" s="39" t="s">
        <v>107</v>
      </c>
      <c r="P78" s="39" t="s">
        <v>107</v>
      </c>
      <c r="Q78" s="39" t="s">
        <v>107</v>
      </c>
      <c r="R78" s="39" t="s">
        <v>107</v>
      </c>
      <c r="S78" s="40">
        <v>15.8</v>
      </c>
      <c r="T78" s="39" t="s">
        <v>107</v>
      </c>
      <c r="U78" s="39" t="s">
        <v>107</v>
      </c>
      <c r="V78" s="39" t="s">
        <v>107</v>
      </c>
      <c r="W78" s="39" t="s">
        <v>107</v>
      </c>
      <c r="X78" s="48" t="s">
        <v>107</v>
      </c>
      <c r="Y78" s="47"/>
      <c r="Z78" s="47"/>
      <c r="AA78" s="47"/>
      <c r="AB78" s="45"/>
    </row>
    <row r="79" spans="1:51" ht="11.1" customHeight="1" x14ac:dyDescent="0.2">
      <c r="A79" s="37">
        <f t="shared" si="1"/>
        <v>773.88888888888891</v>
      </c>
      <c r="B79" s="38">
        <v>1425</v>
      </c>
      <c r="C79" s="39" t="s">
        <v>107</v>
      </c>
      <c r="D79" s="39" t="s">
        <v>107</v>
      </c>
      <c r="E79" s="40">
        <v>17.3</v>
      </c>
      <c r="F79" s="39" t="s">
        <v>107</v>
      </c>
      <c r="G79" s="39" t="s">
        <v>107</v>
      </c>
      <c r="H79" s="39" t="s">
        <v>107</v>
      </c>
      <c r="I79" s="39" t="s">
        <v>107</v>
      </c>
      <c r="J79" s="39" t="s">
        <v>107</v>
      </c>
      <c r="K79" s="39" t="s">
        <v>107</v>
      </c>
      <c r="L79" s="39" t="s">
        <v>107</v>
      </c>
      <c r="M79" s="40">
        <v>11.5</v>
      </c>
      <c r="N79" s="39" t="s">
        <v>107</v>
      </c>
      <c r="O79" s="39" t="s">
        <v>107</v>
      </c>
      <c r="P79" s="39" t="s">
        <v>107</v>
      </c>
      <c r="Q79" s="39" t="s">
        <v>107</v>
      </c>
      <c r="R79" s="39" t="s">
        <v>107</v>
      </c>
      <c r="S79" s="40">
        <v>16.16</v>
      </c>
      <c r="T79" s="39" t="s">
        <v>107</v>
      </c>
      <c r="U79" s="39" t="s">
        <v>107</v>
      </c>
      <c r="V79" s="39" t="s">
        <v>107</v>
      </c>
      <c r="W79" s="39" t="s">
        <v>107</v>
      </c>
      <c r="X79" s="48" t="s">
        <v>107</v>
      </c>
      <c r="Y79" s="47"/>
      <c r="Z79" s="47"/>
      <c r="AA79" s="47"/>
      <c r="AB79" s="45"/>
    </row>
    <row r="80" spans="1:51" ht="11.1" customHeight="1" x14ac:dyDescent="0.2">
      <c r="A80" s="37">
        <f t="shared" si="1"/>
        <v>787.77777777777771</v>
      </c>
      <c r="B80" s="38">
        <v>1450</v>
      </c>
      <c r="C80" s="39" t="s">
        <v>107</v>
      </c>
      <c r="D80" s="39" t="s">
        <v>107</v>
      </c>
      <c r="E80" s="40">
        <v>17.690000000000001</v>
      </c>
      <c r="F80" s="39" t="s">
        <v>107</v>
      </c>
      <c r="G80" s="39" t="s">
        <v>107</v>
      </c>
      <c r="H80" s="39" t="s">
        <v>107</v>
      </c>
      <c r="I80" s="39" t="s">
        <v>107</v>
      </c>
      <c r="J80" s="39" t="s">
        <v>107</v>
      </c>
      <c r="K80" s="39" t="s">
        <v>107</v>
      </c>
      <c r="L80" s="39" t="s">
        <v>107</v>
      </c>
      <c r="M80" s="40">
        <v>11.9</v>
      </c>
      <c r="N80" s="39" t="s">
        <v>107</v>
      </c>
      <c r="O80" s="39" t="s">
        <v>107</v>
      </c>
      <c r="P80" s="39" t="s">
        <v>107</v>
      </c>
      <c r="Q80" s="39" t="s">
        <v>107</v>
      </c>
      <c r="R80" s="39" t="s">
        <v>107</v>
      </c>
      <c r="S80" s="40">
        <v>16.53</v>
      </c>
      <c r="T80" s="39" t="s">
        <v>107</v>
      </c>
      <c r="U80" s="39" t="s">
        <v>107</v>
      </c>
      <c r="V80" s="39" t="s">
        <v>107</v>
      </c>
      <c r="W80" s="39" t="s">
        <v>107</v>
      </c>
      <c r="X80" s="48" t="s">
        <v>107</v>
      </c>
      <c r="Y80" s="47"/>
      <c r="Z80" s="47"/>
      <c r="AA80" s="47"/>
      <c r="AB80" s="45"/>
    </row>
    <row r="81" spans="1:28" ht="11.1" customHeight="1" x14ac:dyDescent="0.2">
      <c r="A81" s="37">
        <f t="shared" si="1"/>
        <v>801.66666666666663</v>
      </c>
      <c r="B81" s="38">
        <v>1475</v>
      </c>
      <c r="C81" s="39" t="s">
        <v>107</v>
      </c>
      <c r="D81" s="39" t="s">
        <v>107</v>
      </c>
      <c r="E81" s="40">
        <v>18.079999999999998</v>
      </c>
      <c r="F81" s="39" t="s">
        <v>107</v>
      </c>
      <c r="G81" s="39" t="s">
        <v>107</v>
      </c>
      <c r="H81" s="39" t="s">
        <v>107</v>
      </c>
      <c r="I81" s="39" t="s">
        <v>107</v>
      </c>
      <c r="J81" s="39" t="s">
        <v>107</v>
      </c>
      <c r="K81" s="39" t="s">
        <v>107</v>
      </c>
      <c r="L81" s="39" t="s">
        <v>107</v>
      </c>
      <c r="M81" s="40">
        <v>12.3</v>
      </c>
      <c r="N81" s="39" t="s">
        <v>107</v>
      </c>
      <c r="O81" s="39" t="s">
        <v>107</v>
      </c>
      <c r="P81" s="39" t="s">
        <v>107</v>
      </c>
      <c r="Q81" s="39" t="s">
        <v>107</v>
      </c>
      <c r="R81" s="39" t="s">
        <v>107</v>
      </c>
      <c r="S81" s="40">
        <v>16.88</v>
      </c>
      <c r="T81" s="39" t="s">
        <v>107</v>
      </c>
      <c r="U81" s="39" t="s">
        <v>107</v>
      </c>
      <c r="V81" s="39" t="s">
        <v>107</v>
      </c>
      <c r="W81" s="39" t="s">
        <v>107</v>
      </c>
      <c r="X81" s="48" t="s">
        <v>107</v>
      </c>
      <c r="Y81" s="47"/>
      <c r="Z81" s="47"/>
      <c r="AA81" s="47"/>
      <c r="AB81" s="45"/>
    </row>
    <row r="82" spans="1:28" ht="11.1" customHeight="1" thickBot="1" x14ac:dyDescent="0.25">
      <c r="A82" s="50">
        <f t="shared" si="1"/>
        <v>815.55555555555554</v>
      </c>
      <c r="B82" s="51">
        <v>1500</v>
      </c>
      <c r="C82" s="52" t="s">
        <v>107</v>
      </c>
      <c r="D82" s="52" t="s">
        <v>107</v>
      </c>
      <c r="E82" s="53">
        <v>18.47</v>
      </c>
      <c r="F82" s="52" t="s">
        <v>107</v>
      </c>
      <c r="G82" s="52" t="s">
        <v>107</v>
      </c>
      <c r="H82" s="52" t="s">
        <v>107</v>
      </c>
      <c r="I82" s="52" t="s">
        <v>107</v>
      </c>
      <c r="J82" s="52" t="s">
        <v>107</v>
      </c>
      <c r="K82" s="52" t="s">
        <v>107</v>
      </c>
      <c r="L82" s="52" t="s">
        <v>107</v>
      </c>
      <c r="M82" s="53">
        <v>12.7</v>
      </c>
      <c r="N82" s="52" t="s">
        <v>107</v>
      </c>
      <c r="O82" s="52" t="s">
        <v>107</v>
      </c>
      <c r="P82" s="52" t="s">
        <v>107</v>
      </c>
      <c r="Q82" s="52" t="s">
        <v>107</v>
      </c>
      <c r="R82" s="52" t="s">
        <v>107</v>
      </c>
      <c r="S82" s="53">
        <v>17.25</v>
      </c>
      <c r="T82" s="52" t="s">
        <v>107</v>
      </c>
      <c r="U82" s="52" t="s">
        <v>107</v>
      </c>
      <c r="V82" s="52" t="s">
        <v>107</v>
      </c>
      <c r="W82" s="52" t="s">
        <v>107</v>
      </c>
      <c r="X82" s="54" t="s">
        <v>107</v>
      </c>
      <c r="Y82" s="47"/>
      <c r="Z82" s="47"/>
      <c r="AA82" s="47"/>
      <c r="AB82" s="45"/>
    </row>
    <row r="83" spans="1:28" x14ac:dyDescent="0.2">
      <c r="B83" s="56"/>
      <c r="C83" s="57"/>
      <c r="D83" s="58"/>
      <c r="E83" s="59"/>
      <c r="F83" s="57"/>
      <c r="G83" s="57"/>
      <c r="H83" s="58"/>
      <c r="I83" s="57"/>
      <c r="J83" s="58"/>
      <c r="K83" s="58"/>
      <c r="L83" s="49"/>
      <c r="M83" s="60"/>
      <c r="N83" s="49"/>
      <c r="O83" s="49"/>
      <c r="P83" s="49"/>
      <c r="Q83" s="61"/>
      <c r="R83" s="61"/>
      <c r="S83" s="60"/>
      <c r="T83" s="49"/>
      <c r="U83" s="49"/>
      <c r="V83" s="49"/>
      <c r="W83" s="49"/>
      <c r="X83" s="49"/>
      <c r="Y83" s="62"/>
      <c r="Z83" s="62"/>
      <c r="AA83" s="62"/>
    </row>
  </sheetData>
  <sheetProtection algorithmName="SHA-512" hashValue="6z1miZJ3VK3I7L9c5WOyF60gsEBDHmpZXHO8dxXOAjA7BiaMUOSW6nv7nEZ/VF9fQ4tvv6UT382kf/PDqMLwCQ==" saltValue="uUKf3+8JRi4Mhvkhne3wEg==" spinCount="100000" sheet="1" objects="1" scenarios="1"/>
  <mergeCells count="3">
    <mergeCell ref="A1:X1"/>
    <mergeCell ref="A2:X2"/>
    <mergeCell ref="A3:X3"/>
  </mergeCells>
  <pageMargins left="0.70866141732283472" right="0.70866141732283472" top="0.74803149606299213" bottom="0.74803149606299213" header="0.31496062992125984" footer="0.31496062992125984"/>
  <pageSetup paperSize="8" scale="74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3B045-41DB-4CCA-B570-317806E050F9}">
  <sheetPr codeName="Sheet05"/>
  <dimension ref="A1:Z52"/>
  <sheetViews>
    <sheetView zoomScaleNormal="100" workbookViewId="0">
      <selection activeCell="X12" sqref="X12"/>
    </sheetView>
  </sheetViews>
  <sheetFormatPr defaultColWidth="9.140625" defaultRowHeight="15" x14ac:dyDescent="0.25"/>
  <cols>
    <col min="1" max="1" width="20.7109375" style="101" customWidth="1"/>
    <col min="2" max="2" width="12.7109375" style="3" customWidth="1"/>
    <col min="3" max="23" width="7.7109375" style="3" customWidth="1"/>
    <col min="24" max="24" width="6.7109375" style="3" customWidth="1"/>
    <col min="25" max="25" width="6.7109375" style="63" customWidth="1"/>
    <col min="26" max="26" width="6.7109375" style="3" customWidth="1"/>
    <col min="27" max="16384" width="9.140625" style="3"/>
  </cols>
  <sheetData>
    <row r="1" spans="1:26" x14ac:dyDescent="0.25">
      <c r="A1" s="557" t="s">
        <v>70</v>
      </c>
      <c r="B1" s="557"/>
      <c r="C1" s="557"/>
      <c r="D1" s="557"/>
      <c r="E1" s="557"/>
      <c r="F1" s="557"/>
      <c r="G1" s="557"/>
      <c r="H1" s="557"/>
      <c r="I1" s="557"/>
      <c r="J1" s="557"/>
      <c r="K1" s="557"/>
      <c r="L1" s="557"/>
      <c r="M1" s="557"/>
      <c r="N1" s="557"/>
      <c r="O1" s="557"/>
      <c r="P1" s="557"/>
      <c r="Q1" s="557"/>
      <c r="R1" s="557"/>
      <c r="S1" s="557"/>
      <c r="T1" s="557"/>
      <c r="U1" s="557"/>
      <c r="V1" s="557"/>
      <c r="W1" s="557"/>
    </row>
    <row r="2" spans="1:26" x14ac:dyDescent="0.25">
      <c r="A2" s="557" t="s">
        <v>108</v>
      </c>
      <c r="B2" s="557"/>
      <c r="C2" s="557"/>
      <c r="D2" s="557"/>
      <c r="E2" s="557"/>
      <c r="F2" s="557"/>
      <c r="G2" s="557"/>
      <c r="H2" s="557"/>
      <c r="I2" s="557"/>
      <c r="J2" s="557"/>
      <c r="K2" s="557"/>
      <c r="L2" s="557"/>
      <c r="M2" s="557"/>
      <c r="N2" s="557"/>
      <c r="O2" s="557"/>
      <c r="P2" s="557"/>
      <c r="Q2" s="557"/>
      <c r="R2" s="557"/>
      <c r="S2" s="557"/>
      <c r="T2" s="557"/>
      <c r="U2" s="557"/>
      <c r="V2" s="557"/>
      <c r="W2" s="557"/>
      <c r="X2" s="64"/>
      <c r="Y2" s="65"/>
      <c r="Z2" s="64"/>
    </row>
    <row r="3" spans="1:26" x14ac:dyDescent="0.25">
      <c r="A3" s="558" t="s">
        <v>109</v>
      </c>
      <c r="B3" s="558"/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64"/>
      <c r="Y3" s="65"/>
      <c r="Z3" s="64"/>
    </row>
    <row r="4" spans="1:26" s="73" customFormat="1" x14ac:dyDescent="0.25">
      <c r="A4" s="66" t="s">
        <v>97</v>
      </c>
      <c r="B4" s="67" t="s">
        <v>110</v>
      </c>
      <c r="C4" s="68">
        <v>-425</v>
      </c>
      <c r="D4" s="68">
        <v>-400</v>
      </c>
      <c r="E4" s="68">
        <v>-350</v>
      </c>
      <c r="F4" s="68">
        <v>-325</v>
      </c>
      <c r="G4" s="68">
        <v>-200</v>
      </c>
      <c r="H4" s="68">
        <v>-100</v>
      </c>
      <c r="I4" s="68">
        <v>70</v>
      </c>
      <c r="J4" s="68">
        <v>200</v>
      </c>
      <c r="K4" s="68">
        <v>300</v>
      </c>
      <c r="L4" s="68">
        <v>400</v>
      </c>
      <c r="M4" s="68">
        <v>500</v>
      </c>
      <c r="N4" s="68">
        <v>600</v>
      </c>
      <c r="O4" s="68">
        <v>700</v>
      </c>
      <c r="P4" s="68">
        <v>800</v>
      </c>
      <c r="Q4" s="68">
        <v>900</v>
      </c>
      <c r="R4" s="68">
        <v>1000</v>
      </c>
      <c r="S4" s="68">
        <v>1100</v>
      </c>
      <c r="T4" s="68">
        <v>1200</v>
      </c>
      <c r="U4" s="68">
        <v>1300</v>
      </c>
      <c r="V4" s="68">
        <v>1400</v>
      </c>
      <c r="W4" s="69">
        <v>1500</v>
      </c>
      <c r="X4" s="70" t="s">
        <v>111</v>
      </c>
      <c r="Y4" s="71" t="s">
        <v>112</v>
      </c>
      <c r="Z4" s="72" t="s">
        <v>98</v>
      </c>
    </row>
    <row r="5" spans="1:26" ht="22.5" x14ac:dyDescent="0.25">
      <c r="A5" s="74" t="s">
        <v>113</v>
      </c>
      <c r="B5" s="75">
        <v>1</v>
      </c>
      <c r="C5" s="76"/>
      <c r="D5" s="76"/>
      <c r="E5" s="76"/>
      <c r="F5" s="76"/>
      <c r="G5" s="76"/>
      <c r="H5" s="76"/>
      <c r="I5" s="76">
        <v>13.4</v>
      </c>
      <c r="J5" s="76">
        <v>13.2</v>
      </c>
      <c r="K5" s="76">
        <v>12.9</v>
      </c>
      <c r="L5" s="76">
        <v>12.6</v>
      </c>
      <c r="M5" s="76">
        <v>12.2</v>
      </c>
      <c r="N5" s="76">
        <v>11.7</v>
      </c>
      <c r="O5" s="76">
        <v>11</v>
      </c>
      <c r="P5" s="76">
        <v>10.199999999999999</v>
      </c>
      <c r="Q5" s="77"/>
      <c r="R5" s="77"/>
      <c r="S5" s="77"/>
      <c r="T5" s="76"/>
      <c r="U5" s="76"/>
      <c r="V5" s="76"/>
      <c r="W5" s="78"/>
      <c r="X5" s="79">
        <v>-425</v>
      </c>
      <c r="Y5" s="71">
        <f>CONVERT(X5,"F","C")</f>
        <v>-253.88888888888889</v>
      </c>
      <c r="Z5" s="80">
        <v>449.5</v>
      </c>
    </row>
    <row r="6" spans="1:26" x14ac:dyDescent="0.25">
      <c r="A6" s="74" t="s">
        <v>114</v>
      </c>
      <c r="B6" s="75">
        <v>1</v>
      </c>
      <c r="C6" s="76">
        <v>31.9</v>
      </c>
      <c r="D6" s="76"/>
      <c r="E6" s="76"/>
      <c r="F6" s="76">
        <v>31.4</v>
      </c>
      <c r="G6" s="76">
        <v>30.8</v>
      </c>
      <c r="H6" s="76">
        <v>30.2</v>
      </c>
      <c r="I6" s="76">
        <v>29.5</v>
      </c>
      <c r="J6" s="76">
        <v>28.8</v>
      </c>
      <c r="K6" s="76">
        <v>28.3</v>
      </c>
      <c r="L6" s="76">
        <v>27.7</v>
      </c>
      <c r="M6" s="76">
        <v>27.3</v>
      </c>
      <c r="N6" s="76">
        <v>26.7</v>
      </c>
      <c r="O6" s="76">
        <v>25.5</v>
      </c>
      <c r="P6" s="76">
        <v>24.2</v>
      </c>
      <c r="Q6" s="76">
        <v>22.4</v>
      </c>
      <c r="R6" s="76">
        <v>20.399999999999999</v>
      </c>
      <c r="S6" s="76">
        <v>18</v>
      </c>
      <c r="T6" s="76"/>
      <c r="U6" s="76"/>
      <c r="V6" s="76"/>
      <c r="W6" s="78"/>
      <c r="X6" s="79">
        <v>-400</v>
      </c>
      <c r="Y6" s="71">
        <f t="shared" ref="Y6:Y25" si="0">CONVERT(X6,"F","C")</f>
        <v>-240</v>
      </c>
      <c r="Z6" s="80">
        <v>488.8</v>
      </c>
    </row>
    <row r="7" spans="1:26" x14ac:dyDescent="0.25">
      <c r="A7" s="74" t="s">
        <v>115</v>
      </c>
      <c r="B7" s="75">
        <v>1</v>
      </c>
      <c r="C7" s="76">
        <v>31.7</v>
      </c>
      <c r="D7" s="76"/>
      <c r="E7" s="76"/>
      <c r="F7" s="76">
        <v>31.2</v>
      </c>
      <c r="G7" s="76">
        <v>30.6</v>
      </c>
      <c r="H7" s="76">
        <v>30</v>
      </c>
      <c r="I7" s="76">
        <v>29.3</v>
      </c>
      <c r="J7" s="76">
        <v>28.6</v>
      </c>
      <c r="K7" s="76">
        <v>28.1</v>
      </c>
      <c r="L7" s="76">
        <v>27.5</v>
      </c>
      <c r="M7" s="76">
        <v>27.1</v>
      </c>
      <c r="N7" s="76">
        <v>26.5</v>
      </c>
      <c r="O7" s="76">
        <v>25.3</v>
      </c>
      <c r="P7" s="76">
        <v>24</v>
      </c>
      <c r="Q7" s="76">
        <v>22.2</v>
      </c>
      <c r="R7" s="76">
        <v>20.2</v>
      </c>
      <c r="S7" s="76">
        <v>17.899999999999999</v>
      </c>
      <c r="T7" s="76">
        <v>15.4</v>
      </c>
      <c r="U7" s="76"/>
      <c r="V7" s="76"/>
      <c r="W7" s="78"/>
      <c r="X7" s="79">
        <v>-350</v>
      </c>
      <c r="Y7" s="71">
        <f t="shared" si="0"/>
        <v>-212.22222222222223</v>
      </c>
      <c r="Z7" s="80">
        <v>488.8</v>
      </c>
    </row>
    <row r="8" spans="1:26" x14ac:dyDescent="0.25">
      <c r="A8" s="74" t="s">
        <v>116</v>
      </c>
      <c r="B8" s="75">
        <v>1</v>
      </c>
      <c r="C8" s="76">
        <v>31.7</v>
      </c>
      <c r="D8" s="76"/>
      <c r="E8" s="76"/>
      <c r="F8" s="76">
        <v>31.1</v>
      </c>
      <c r="G8" s="76">
        <v>30.5</v>
      </c>
      <c r="H8" s="76">
        <v>29.9</v>
      </c>
      <c r="I8" s="76">
        <v>29.2</v>
      </c>
      <c r="J8" s="76">
        <v>28.5</v>
      </c>
      <c r="K8" s="76">
        <v>28</v>
      </c>
      <c r="L8" s="76">
        <v>27.4</v>
      </c>
      <c r="M8" s="76">
        <v>27</v>
      </c>
      <c r="N8" s="76">
        <v>26.4</v>
      </c>
      <c r="O8" s="76">
        <v>25.3</v>
      </c>
      <c r="P8" s="76">
        <v>23.9</v>
      </c>
      <c r="Q8" s="76">
        <v>22.2</v>
      </c>
      <c r="R8" s="76">
        <v>20.100000000000001</v>
      </c>
      <c r="S8" s="76">
        <v>17.8</v>
      </c>
      <c r="T8" s="76">
        <v>15.3</v>
      </c>
      <c r="U8" s="76"/>
      <c r="V8" s="76"/>
      <c r="W8" s="78"/>
      <c r="X8" s="79">
        <v>-325</v>
      </c>
      <c r="Y8" s="71">
        <f t="shared" si="0"/>
        <v>-198.33333333333331</v>
      </c>
      <c r="Z8" s="80">
        <v>488.8</v>
      </c>
    </row>
    <row r="9" spans="1:26" x14ac:dyDescent="0.25">
      <c r="A9" s="74" t="s">
        <v>117</v>
      </c>
      <c r="B9" s="75">
        <v>7</v>
      </c>
      <c r="C9" s="76">
        <v>30.1</v>
      </c>
      <c r="D9" s="76"/>
      <c r="E9" s="76"/>
      <c r="F9" s="76">
        <v>29.6</v>
      </c>
      <c r="G9" s="76">
        <v>29.1</v>
      </c>
      <c r="H9" s="76">
        <v>28.5</v>
      </c>
      <c r="I9" s="76">
        <v>27.8</v>
      </c>
      <c r="J9" s="76">
        <v>27.1</v>
      </c>
      <c r="K9" s="76">
        <v>26.7</v>
      </c>
      <c r="L9" s="76">
        <v>26.1</v>
      </c>
      <c r="M9" s="76">
        <v>25.7</v>
      </c>
      <c r="N9" s="76">
        <v>25.2</v>
      </c>
      <c r="O9" s="76">
        <v>24.6</v>
      </c>
      <c r="P9" s="76">
        <v>23</v>
      </c>
      <c r="Q9" s="76"/>
      <c r="R9" s="76"/>
      <c r="S9" s="76"/>
      <c r="T9" s="76"/>
      <c r="U9" s="76"/>
      <c r="V9" s="76"/>
      <c r="W9" s="78"/>
      <c r="X9" s="79">
        <v>-200</v>
      </c>
      <c r="Y9" s="71">
        <f t="shared" si="0"/>
        <v>-128.88888888888889</v>
      </c>
      <c r="Z9" s="80">
        <v>488.8</v>
      </c>
    </row>
    <row r="10" spans="1:26" x14ac:dyDescent="0.25">
      <c r="A10" s="74" t="s">
        <v>118</v>
      </c>
      <c r="B10" s="75">
        <v>1</v>
      </c>
      <c r="C10" s="76">
        <v>32.1</v>
      </c>
      <c r="D10" s="76"/>
      <c r="E10" s="76"/>
      <c r="F10" s="76">
        <v>31.6</v>
      </c>
      <c r="G10" s="76">
        <v>31</v>
      </c>
      <c r="H10" s="76">
        <v>30.4</v>
      </c>
      <c r="I10" s="76">
        <v>29.7</v>
      </c>
      <c r="J10" s="76">
        <v>29</v>
      </c>
      <c r="K10" s="76">
        <v>28.5</v>
      </c>
      <c r="L10" s="76">
        <v>27.9</v>
      </c>
      <c r="M10" s="76">
        <v>27.5</v>
      </c>
      <c r="N10" s="76">
        <v>26.9</v>
      </c>
      <c r="O10" s="76">
        <v>26.3</v>
      </c>
      <c r="P10" s="76">
        <v>25.5</v>
      </c>
      <c r="Q10" s="76">
        <v>24.8</v>
      </c>
      <c r="R10" s="76">
        <v>23.9</v>
      </c>
      <c r="S10" s="76">
        <v>23</v>
      </c>
      <c r="T10" s="76">
        <v>21.8</v>
      </c>
      <c r="U10" s="76">
        <v>20.5</v>
      </c>
      <c r="V10" s="76">
        <v>18.899999999999999</v>
      </c>
      <c r="W10" s="78"/>
      <c r="X10" s="79">
        <v>-100</v>
      </c>
      <c r="Y10" s="71">
        <f t="shared" si="0"/>
        <v>-73.333333333333329</v>
      </c>
      <c r="Z10" s="80">
        <v>488.8</v>
      </c>
    </row>
    <row r="11" spans="1:26" ht="22.5" x14ac:dyDescent="0.25">
      <c r="A11" s="74" t="s">
        <v>119</v>
      </c>
      <c r="B11" s="75">
        <v>1</v>
      </c>
      <c r="C11" s="76">
        <v>33.1</v>
      </c>
      <c r="D11" s="76"/>
      <c r="E11" s="76"/>
      <c r="F11" s="76">
        <v>32.6</v>
      </c>
      <c r="G11" s="76">
        <v>32</v>
      </c>
      <c r="H11" s="76">
        <v>31.4</v>
      </c>
      <c r="I11" s="76">
        <v>30.6</v>
      </c>
      <c r="J11" s="76">
        <v>29.8</v>
      </c>
      <c r="K11" s="76">
        <v>29.4</v>
      </c>
      <c r="L11" s="76">
        <v>28.8</v>
      </c>
      <c r="M11" s="76">
        <v>28.3</v>
      </c>
      <c r="N11" s="76">
        <v>27.7</v>
      </c>
      <c r="O11" s="76">
        <v>27.1</v>
      </c>
      <c r="P11" s="76">
        <v>26.3</v>
      </c>
      <c r="Q11" s="76">
        <v>25.6</v>
      </c>
      <c r="R11" s="76">
        <v>24.6</v>
      </c>
      <c r="S11" s="76">
        <v>23.7</v>
      </c>
      <c r="T11" s="76">
        <v>22.5</v>
      </c>
      <c r="U11" s="76">
        <v>21.1</v>
      </c>
      <c r="V11" s="76">
        <v>19.399999999999999</v>
      </c>
      <c r="W11" s="78"/>
      <c r="X11" s="79">
        <v>70</v>
      </c>
      <c r="Y11" s="71">
        <f t="shared" si="0"/>
        <v>21.111111111111111</v>
      </c>
      <c r="Z11" s="80">
        <v>488.8</v>
      </c>
    </row>
    <row r="12" spans="1:26" x14ac:dyDescent="0.25">
      <c r="A12" s="74" t="s">
        <v>120</v>
      </c>
      <c r="B12" s="75">
        <v>2</v>
      </c>
      <c r="C12" s="76">
        <v>33.4</v>
      </c>
      <c r="D12" s="76"/>
      <c r="E12" s="76"/>
      <c r="F12" s="76">
        <v>32.9</v>
      </c>
      <c r="G12" s="76">
        <v>32.299999999999997</v>
      </c>
      <c r="H12" s="76">
        <v>31.7</v>
      </c>
      <c r="I12" s="76">
        <v>30.9</v>
      </c>
      <c r="J12" s="76">
        <v>30.1</v>
      </c>
      <c r="K12" s="76">
        <v>29.7</v>
      </c>
      <c r="L12" s="76">
        <v>29</v>
      </c>
      <c r="M12" s="76">
        <v>28.6</v>
      </c>
      <c r="N12" s="76">
        <v>28</v>
      </c>
      <c r="O12" s="76">
        <v>27.3</v>
      </c>
      <c r="P12" s="76">
        <v>26.1</v>
      </c>
      <c r="Q12" s="76">
        <v>24.7</v>
      </c>
      <c r="R12" s="76">
        <v>22.7</v>
      </c>
      <c r="S12" s="76">
        <v>20.399999999999999</v>
      </c>
      <c r="T12" s="76">
        <v>18.2</v>
      </c>
      <c r="U12" s="76">
        <v>15.5</v>
      </c>
      <c r="V12" s="76">
        <v>12.7</v>
      </c>
      <c r="W12" s="78"/>
      <c r="X12" s="79">
        <v>200</v>
      </c>
      <c r="Y12" s="71">
        <f t="shared" si="0"/>
        <v>93.333333333333329</v>
      </c>
      <c r="Z12" s="80">
        <v>488.8</v>
      </c>
    </row>
    <row r="13" spans="1:26" ht="22.5" x14ac:dyDescent="0.25">
      <c r="A13" s="74" t="s">
        <v>121</v>
      </c>
      <c r="B13" s="75">
        <v>4</v>
      </c>
      <c r="C13" s="76">
        <v>31.8</v>
      </c>
      <c r="D13" s="76"/>
      <c r="E13" s="76"/>
      <c r="F13" s="76">
        <v>31.2</v>
      </c>
      <c r="G13" s="76">
        <v>30.7</v>
      </c>
      <c r="H13" s="76">
        <v>30.1</v>
      </c>
      <c r="I13" s="76">
        <v>29.2</v>
      </c>
      <c r="J13" s="76">
        <v>28.5</v>
      </c>
      <c r="K13" s="76">
        <v>27.9</v>
      </c>
      <c r="L13" s="76">
        <v>27.3</v>
      </c>
      <c r="M13" s="76">
        <v>26.7</v>
      </c>
      <c r="N13" s="76">
        <v>26.1</v>
      </c>
      <c r="O13" s="76">
        <v>25.6</v>
      </c>
      <c r="P13" s="76">
        <v>24.7</v>
      </c>
      <c r="Q13" s="76">
        <v>22.2</v>
      </c>
      <c r="R13" s="76">
        <v>21.5</v>
      </c>
      <c r="S13" s="76">
        <v>19.100000000000001</v>
      </c>
      <c r="T13" s="76">
        <v>16.600000000000001</v>
      </c>
      <c r="U13" s="76"/>
      <c r="V13" s="76"/>
      <c r="W13" s="78"/>
      <c r="X13" s="79">
        <v>300</v>
      </c>
      <c r="Y13" s="71">
        <f t="shared" si="0"/>
        <v>148.88888888888889</v>
      </c>
      <c r="Z13" s="80">
        <v>491.9</v>
      </c>
    </row>
    <row r="14" spans="1:26" ht="22.5" x14ac:dyDescent="0.25">
      <c r="A14" s="74" t="s">
        <v>122</v>
      </c>
      <c r="B14" s="75">
        <v>3</v>
      </c>
      <c r="C14" s="76">
        <v>30.8</v>
      </c>
      <c r="D14" s="76"/>
      <c r="E14" s="76"/>
      <c r="F14" s="76">
        <v>30.3</v>
      </c>
      <c r="G14" s="76">
        <v>29.7</v>
      </c>
      <c r="H14" s="76">
        <v>29</v>
      </c>
      <c r="I14" s="76">
        <v>28.3</v>
      </c>
      <c r="J14" s="76">
        <v>27.6</v>
      </c>
      <c r="K14" s="76">
        <v>27</v>
      </c>
      <c r="L14" s="76">
        <v>26.5</v>
      </c>
      <c r="M14" s="76">
        <v>25.8</v>
      </c>
      <c r="N14" s="76">
        <v>25.3</v>
      </c>
      <c r="O14" s="76">
        <v>24.8</v>
      </c>
      <c r="P14" s="76">
        <v>24.1</v>
      </c>
      <c r="Q14" s="76">
        <v>23.5</v>
      </c>
      <c r="R14" s="76">
        <v>22.8</v>
      </c>
      <c r="S14" s="76">
        <v>22.1</v>
      </c>
      <c r="T14" s="76">
        <v>21.2</v>
      </c>
      <c r="U14" s="76">
        <v>20.2</v>
      </c>
      <c r="V14" s="76">
        <v>19.2</v>
      </c>
      <c r="W14" s="78">
        <v>18.100000000000001</v>
      </c>
      <c r="X14" s="79">
        <v>400</v>
      </c>
      <c r="Y14" s="71">
        <f t="shared" si="0"/>
        <v>204.44444444444443</v>
      </c>
      <c r="Z14" s="80">
        <v>501.3</v>
      </c>
    </row>
    <row r="15" spans="1:26" ht="45" x14ac:dyDescent="0.25">
      <c r="A15" s="74" t="s">
        <v>123</v>
      </c>
      <c r="B15" s="75">
        <v>8</v>
      </c>
      <c r="C15" s="76"/>
      <c r="D15" s="76"/>
      <c r="E15" s="76"/>
      <c r="F15" s="76">
        <v>14.8</v>
      </c>
      <c r="G15" s="76">
        <v>14.6</v>
      </c>
      <c r="H15" s="76">
        <v>14.4</v>
      </c>
      <c r="I15" s="76">
        <v>14</v>
      </c>
      <c r="J15" s="76">
        <v>13.7</v>
      </c>
      <c r="K15" s="76">
        <v>13.4</v>
      </c>
      <c r="L15" s="76">
        <v>13.2</v>
      </c>
      <c r="M15" s="76">
        <v>12.9</v>
      </c>
      <c r="N15" s="76">
        <v>12.5</v>
      </c>
      <c r="O15" s="76">
        <v>12</v>
      </c>
      <c r="P15" s="77"/>
      <c r="Q15" s="76"/>
      <c r="R15" s="76"/>
      <c r="S15" s="76"/>
      <c r="T15" s="76"/>
      <c r="U15" s="76"/>
      <c r="V15" s="76"/>
      <c r="W15" s="81"/>
      <c r="X15" s="79">
        <v>500</v>
      </c>
      <c r="Y15" s="71">
        <f t="shared" si="0"/>
        <v>260</v>
      </c>
      <c r="Z15" s="80">
        <v>549.4</v>
      </c>
    </row>
    <row r="16" spans="1:26" ht="33.75" x14ac:dyDescent="0.25">
      <c r="A16" s="74" t="s">
        <v>124</v>
      </c>
      <c r="B16" s="75">
        <v>8</v>
      </c>
      <c r="C16" s="76"/>
      <c r="D16" s="76"/>
      <c r="E16" s="76"/>
      <c r="F16" s="76">
        <v>15.9</v>
      </c>
      <c r="G16" s="76">
        <v>15.6</v>
      </c>
      <c r="H16" s="76">
        <v>15.4</v>
      </c>
      <c r="I16" s="76">
        <v>15</v>
      </c>
      <c r="J16" s="76">
        <v>14.6</v>
      </c>
      <c r="K16" s="76">
        <v>14.4</v>
      </c>
      <c r="L16" s="76">
        <v>14.1</v>
      </c>
      <c r="M16" s="76">
        <v>13.8</v>
      </c>
      <c r="N16" s="76">
        <v>13.4</v>
      </c>
      <c r="O16" s="76">
        <v>12.8</v>
      </c>
      <c r="P16" s="77"/>
      <c r="Q16" s="76"/>
      <c r="R16" s="76"/>
      <c r="S16" s="76"/>
      <c r="T16" s="76"/>
      <c r="U16" s="76"/>
      <c r="V16" s="76"/>
      <c r="W16" s="82"/>
      <c r="X16" s="79">
        <v>600</v>
      </c>
      <c r="Y16" s="71">
        <f t="shared" si="0"/>
        <v>315.55555555555554</v>
      </c>
      <c r="Z16" s="80">
        <v>531.9</v>
      </c>
    </row>
    <row r="17" spans="1:26" x14ac:dyDescent="0.25">
      <c r="A17" s="74" t="s">
        <v>125</v>
      </c>
      <c r="B17" s="75">
        <v>8</v>
      </c>
      <c r="C17" s="76"/>
      <c r="D17" s="76"/>
      <c r="E17" s="76"/>
      <c r="F17" s="76">
        <v>16.899999999999999</v>
      </c>
      <c r="G17" s="76">
        <v>16.600000000000001</v>
      </c>
      <c r="H17" s="76">
        <v>16.5</v>
      </c>
      <c r="I17" s="76">
        <v>16</v>
      </c>
      <c r="J17" s="76">
        <v>15.6</v>
      </c>
      <c r="K17" s="76">
        <v>15.4</v>
      </c>
      <c r="L17" s="76">
        <v>15</v>
      </c>
      <c r="M17" s="76">
        <v>14.7</v>
      </c>
      <c r="N17" s="76">
        <v>14.2</v>
      </c>
      <c r="O17" s="76">
        <v>13.7</v>
      </c>
      <c r="P17" s="77"/>
      <c r="Q17" s="76"/>
      <c r="R17" s="76"/>
      <c r="S17" s="76"/>
      <c r="T17" s="76"/>
      <c r="U17" s="76"/>
      <c r="V17" s="76"/>
      <c r="W17" s="78"/>
      <c r="X17" s="79">
        <v>700</v>
      </c>
      <c r="Y17" s="71">
        <f t="shared" si="0"/>
        <v>371.11111111111109</v>
      </c>
      <c r="Z17" s="80">
        <v>555</v>
      </c>
    </row>
    <row r="18" spans="1:26" ht="45" x14ac:dyDescent="0.25">
      <c r="A18" s="74" t="s">
        <v>126</v>
      </c>
      <c r="B18" s="75">
        <v>8</v>
      </c>
      <c r="C18" s="76"/>
      <c r="D18" s="76"/>
      <c r="E18" s="76"/>
      <c r="F18" s="76">
        <v>18</v>
      </c>
      <c r="G18" s="76">
        <v>17.7</v>
      </c>
      <c r="H18" s="76">
        <v>17.5</v>
      </c>
      <c r="I18" s="76">
        <v>17</v>
      </c>
      <c r="J18" s="76">
        <v>16.600000000000001</v>
      </c>
      <c r="K18" s="76">
        <v>16.3</v>
      </c>
      <c r="L18" s="76">
        <v>16</v>
      </c>
      <c r="M18" s="76">
        <v>15.6</v>
      </c>
      <c r="N18" s="76">
        <v>15.1</v>
      </c>
      <c r="O18" s="76">
        <v>14.5</v>
      </c>
      <c r="P18" s="77"/>
      <c r="Q18" s="76"/>
      <c r="R18" s="76"/>
      <c r="S18" s="76"/>
      <c r="T18" s="76"/>
      <c r="U18" s="76"/>
      <c r="V18" s="76"/>
      <c r="W18" s="78"/>
      <c r="X18" s="79">
        <v>800</v>
      </c>
      <c r="Y18" s="71">
        <f t="shared" si="0"/>
        <v>426.66666666666663</v>
      </c>
      <c r="Z18" s="80">
        <v>558.1</v>
      </c>
    </row>
    <row r="19" spans="1:26" x14ac:dyDescent="0.25">
      <c r="A19" s="74" t="s">
        <v>127</v>
      </c>
      <c r="B19" s="75">
        <v>8</v>
      </c>
      <c r="C19" s="76"/>
      <c r="D19" s="76"/>
      <c r="E19" s="76"/>
      <c r="F19" s="76">
        <v>19</v>
      </c>
      <c r="G19" s="76">
        <v>18.7</v>
      </c>
      <c r="H19" s="76">
        <v>18.5</v>
      </c>
      <c r="I19" s="76">
        <v>18</v>
      </c>
      <c r="J19" s="76">
        <v>17.600000000000001</v>
      </c>
      <c r="K19" s="76">
        <v>17.3</v>
      </c>
      <c r="L19" s="76">
        <v>16.899999999999999</v>
      </c>
      <c r="M19" s="76">
        <v>16.600000000000001</v>
      </c>
      <c r="N19" s="76">
        <v>16</v>
      </c>
      <c r="O19" s="76">
        <v>15.4</v>
      </c>
      <c r="P19" s="76"/>
      <c r="Q19" s="76"/>
      <c r="R19" s="76"/>
      <c r="S19" s="76"/>
      <c r="T19" s="76"/>
      <c r="U19" s="76"/>
      <c r="V19" s="76"/>
      <c r="W19" s="78"/>
      <c r="X19" s="79">
        <v>900</v>
      </c>
      <c r="Y19" s="71">
        <f t="shared" si="0"/>
        <v>482.22222222222223</v>
      </c>
      <c r="Z19" s="80">
        <v>558.1</v>
      </c>
    </row>
    <row r="20" spans="1:26" x14ac:dyDescent="0.25">
      <c r="A20" s="74" t="s">
        <v>128</v>
      </c>
      <c r="B20" s="75">
        <v>14</v>
      </c>
      <c r="C20" s="76"/>
      <c r="D20" s="76"/>
      <c r="E20" s="76"/>
      <c r="F20" s="76">
        <v>20.100000000000001</v>
      </c>
      <c r="G20" s="76">
        <v>19.8</v>
      </c>
      <c r="H20" s="76">
        <v>19.600000000000001</v>
      </c>
      <c r="I20" s="76">
        <v>19</v>
      </c>
      <c r="J20" s="76">
        <v>18.5</v>
      </c>
      <c r="K20" s="76">
        <v>18.2</v>
      </c>
      <c r="L20" s="76">
        <v>17.899999999999999</v>
      </c>
      <c r="M20" s="76">
        <v>17.5</v>
      </c>
      <c r="N20" s="76">
        <v>16.899999999999999</v>
      </c>
      <c r="O20" s="76">
        <v>16.2</v>
      </c>
      <c r="P20" s="76"/>
      <c r="Q20" s="76"/>
      <c r="R20" s="76"/>
      <c r="S20" s="76"/>
      <c r="T20" s="76"/>
      <c r="U20" s="76"/>
      <c r="V20" s="76"/>
      <c r="W20" s="78"/>
      <c r="X20" s="79">
        <v>1000</v>
      </c>
      <c r="Y20" s="71">
        <f t="shared" si="0"/>
        <v>537.77777777777771</v>
      </c>
      <c r="Z20" s="80">
        <v>558.1</v>
      </c>
    </row>
    <row r="21" spans="1:26" x14ac:dyDescent="0.25">
      <c r="A21" s="74" t="s">
        <v>129</v>
      </c>
      <c r="B21" s="75">
        <v>8</v>
      </c>
      <c r="C21" s="76"/>
      <c r="D21" s="76"/>
      <c r="E21" s="76"/>
      <c r="F21" s="76">
        <v>21.2</v>
      </c>
      <c r="G21" s="76">
        <v>20.8</v>
      </c>
      <c r="H21" s="76">
        <v>20.6</v>
      </c>
      <c r="I21" s="76">
        <v>20</v>
      </c>
      <c r="J21" s="76">
        <v>19.5</v>
      </c>
      <c r="K21" s="76">
        <v>19.2</v>
      </c>
      <c r="L21" s="76">
        <v>18.8</v>
      </c>
      <c r="M21" s="76">
        <v>18.399999999999999</v>
      </c>
      <c r="N21" s="76">
        <v>17.8</v>
      </c>
      <c r="O21" s="76">
        <v>17.100000000000001</v>
      </c>
      <c r="P21" s="76"/>
      <c r="Q21" s="76"/>
      <c r="R21" s="76"/>
      <c r="S21" s="76"/>
      <c r="T21" s="76"/>
      <c r="U21" s="76"/>
      <c r="V21" s="76"/>
      <c r="W21" s="78"/>
      <c r="X21" s="79">
        <v>1100</v>
      </c>
      <c r="Y21" s="71">
        <f t="shared" si="0"/>
        <v>593.33333333333337</v>
      </c>
      <c r="Z21" s="80">
        <v>558.1</v>
      </c>
    </row>
    <row r="22" spans="1:26" x14ac:dyDescent="0.25">
      <c r="A22" s="74" t="s">
        <v>130</v>
      </c>
      <c r="B22" s="75">
        <v>16</v>
      </c>
      <c r="C22" s="76"/>
      <c r="D22" s="76"/>
      <c r="E22" s="76"/>
      <c r="F22" s="76">
        <v>23.3</v>
      </c>
      <c r="G22" s="76">
        <v>22.9</v>
      </c>
      <c r="H22" s="76">
        <v>22.7</v>
      </c>
      <c r="I22" s="76">
        <v>22</v>
      </c>
      <c r="J22" s="76">
        <v>21.5</v>
      </c>
      <c r="K22" s="76">
        <v>21.1</v>
      </c>
      <c r="L22" s="76">
        <v>20.7</v>
      </c>
      <c r="M22" s="76">
        <v>20.2</v>
      </c>
      <c r="N22" s="76">
        <v>19.600000000000001</v>
      </c>
      <c r="O22" s="76">
        <v>18.8</v>
      </c>
      <c r="P22" s="76"/>
      <c r="Q22" s="76"/>
      <c r="R22" s="76"/>
      <c r="S22" s="76"/>
      <c r="T22" s="76"/>
      <c r="U22" s="76"/>
      <c r="V22" s="76"/>
      <c r="W22" s="78"/>
      <c r="X22" s="79">
        <v>1200</v>
      </c>
      <c r="Y22" s="71">
        <f t="shared" si="0"/>
        <v>648.88888888888891</v>
      </c>
      <c r="Z22" s="80">
        <v>558.1</v>
      </c>
    </row>
    <row r="23" spans="1:26" ht="33.75" x14ac:dyDescent="0.25">
      <c r="A23" s="74" t="s">
        <v>131</v>
      </c>
      <c r="B23" s="75">
        <v>6</v>
      </c>
      <c r="C23" s="76">
        <v>28.3</v>
      </c>
      <c r="D23" s="76"/>
      <c r="E23" s="76"/>
      <c r="F23" s="76">
        <v>27.8</v>
      </c>
      <c r="G23" s="76">
        <v>27.3</v>
      </c>
      <c r="H23" s="76">
        <v>26.8</v>
      </c>
      <c r="I23" s="76">
        <v>26</v>
      </c>
      <c r="J23" s="76">
        <v>25.4</v>
      </c>
      <c r="K23" s="76">
        <v>25</v>
      </c>
      <c r="L23" s="76">
        <v>24.7</v>
      </c>
      <c r="M23" s="76">
        <v>24.3</v>
      </c>
      <c r="N23" s="76">
        <v>24.1</v>
      </c>
      <c r="O23" s="76">
        <v>23.7</v>
      </c>
      <c r="P23" s="76">
        <v>23.1</v>
      </c>
      <c r="Q23" s="76">
        <v>22.6</v>
      </c>
      <c r="R23" s="76">
        <v>22.1</v>
      </c>
      <c r="S23" s="76">
        <v>21.7</v>
      </c>
      <c r="T23" s="76">
        <v>21.2</v>
      </c>
      <c r="U23" s="76"/>
      <c r="V23" s="76"/>
      <c r="W23" s="78"/>
      <c r="X23" s="79">
        <v>1300</v>
      </c>
      <c r="Y23" s="71">
        <f t="shared" si="0"/>
        <v>704.44444444444446</v>
      </c>
      <c r="Z23" s="80">
        <v>553.1</v>
      </c>
    </row>
    <row r="24" spans="1:26" x14ac:dyDescent="0.25">
      <c r="A24" s="74" t="s">
        <v>132</v>
      </c>
      <c r="B24" s="75">
        <v>19</v>
      </c>
      <c r="C24" s="76">
        <v>29.2</v>
      </c>
      <c r="D24" s="76"/>
      <c r="E24" s="76"/>
      <c r="F24" s="76">
        <v>29.1</v>
      </c>
      <c r="G24" s="76">
        <v>29</v>
      </c>
      <c r="H24" s="76">
        <v>28.8</v>
      </c>
      <c r="I24" s="76">
        <v>28.5</v>
      </c>
      <c r="J24" s="76">
        <v>28.1</v>
      </c>
      <c r="K24" s="76">
        <v>27.8</v>
      </c>
      <c r="L24" s="76">
        <v>27.5</v>
      </c>
      <c r="M24" s="76">
        <v>27.1</v>
      </c>
      <c r="N24" s="76">
        <v>26.7</v>
      </c>
      <c r="O24" s="76">
        <v>26.3</v>
      </c>
      <c r="P24" s="76">
        <v>25.8</v>
      </c>
      <c r="Q24" s="76">
        <v>25.3</v>
      </c>
      <c r="R24" s="76">
        <v>24.8</v>
      </c>
      <c r="S24" s="76">
        <v>24.2</v>
      </c>
      <c r="T24" s="76">
        <v>23.6</v>
      </c>
      <c r="U24" s="76"/>
      <c r="V24" s="76"/>
      <c r="W24" s="78"/>
      <c r="X24" s="79">
        <v>1400</v>
      </c>
      <c r="Y24" s="71">
        <f t="shared" si="0"/>
        <v>760</v>
      </c>
      <c r="Z24" s="80">
        <v>513.20000000000005</v>
      </c>
    </row>
    <row r="25" spans="1:26" x14ac:dyDescent="0.25">
      <c r="A25" s="74" t="s">
        <v>133</v>
      </c>
      <c r="B25" s="75">
        <v>18</v>
      </c>
      <c r="C25" s="76">
        <v>30.3</v>
      </c>
      <c r="D25" s="76"/>
      <c r="E25" s="76"/>
      <c r="F25" s="76">
        <v>29.5</v>
      </c>
      <c r="G25" s="76">
        <v>29.2</v>
      </c>
      <c r="H25" s="76">
        <v>28.6</v>
      </c>
      <c r="I25" s="76">
        <v>27.8</v>
      </c>
      <c r="J25" s="76">
        <v>27.1</v>
      </c>
      <c r="K25" s="76">
        <v>26.7</v>
      </c>
      <c r="L25" s="76">
        <v>26.4</v>
      </c>
      <c r="M25" s="76">
        <v>26</v>
      </c>
      <c r="N25" s="76">
        <v>25.7</v>
      </c>
      <c r="O25" s="76">
        <v>25.3</v>
      </c>
      <c r="P25" s="76">
        <v>24.7</v>
      </c>
      <c r="Q25" s="76">
        <v>24.2</v>
      </c>
      <c r="R25" s="76">
        <v>23.6</v>
      </c>
      <c r="S25" s="76">
        <v>23.2</v>
      </c>
      <c r="T25" s="76">
        <v>22.7</v>
      </c>
      <c r="U25" s="76"/>
      <c r="V25" s="76"/>
      <c r="W25" s="78"/>
      <c r="X25" s="79">
        <v>1500</v>
      </c>
      <c r="Y25" s="71">
        <f t="shared" si="0"/>
        <v>815.55555555555554</v>
      </c>
      <c r="Z25" s="80">
        <v>518.79999999999995</v>
      </c>
    </row>
    <row r="26" spans="1:26" ht="22.5" x14ac:dyDescent="0.25">
      <c r="A26" s="74" t="s">
        <v>134</v>
      </c>
      <c r="B26" s="75">
        <v>17</v>
      </c>
      <c r="C26" s="76">
        <v>31.1</v>
      </c>
      <c r="D26" s="76"/>
      <c r="E26" s="76"/>
      <c r="F26" s="76">
        <v>30.5</v>
      </c>
      <c r="G26" s="76">
        <v>29.9</v>
      </c>
      <c r="H26" s="76">
        <v>29.4</v>
      </c>
      <c r="I26" s="76">
        <v>28.5</v>
      </c>
      <c r="J26" s="76">
        <v>27.8</v>
      </c>
      <c r="K26" s="76">
        <v>27.4</v>
      </c>
      <c r="L26" s="76">
        <v>27.1</v>
      </c>
      <c r="M26" s="76">
        <v>26.6</v>
      </c>
      <c r="N26" s="76">
        <v>26.4</v>
      </c>
      <c r="O26" s="76">
        <v>25.9</v>
      </c>
      <c r="P26" s="76">
        <v>25.4</v>
      </c>
      <c r="Q26" s="76">
        <v>24.8</v>
      </c>
      <c r="R26" s="76">
        <v>24.2</v>
      </c>
      <c r="S26" s="76">
        <v>23.8</v>
      </c>
      <c r="T26" s="76">
        <v>23.2</v>
      </c>
      <c r="U26" s="76"/>
      <c r="V26" s="76"/>
      <c r="W26" s="78"/>
      <c r="X26" s="83"/>
      <c r="Y26" s="84"/>
      <c r="Z26" s="80">
        <v>518.79999999999995</v>
      </c>
    </row>
    <row r="27" spans="1:26" x14ac:dyDescent="0.25">
      <c r="A27" s="74" t="s">
        <v>135</v>
      </c>
      <c r="B27" s="75">
        <v>18</v>
      </c>
      <c r="C27" s="76">
        <v>32.5</v>
      </c>
      <c r="D27" s="76"/>
      <c r="E27" s="76"/>
      <c r="F27" s="76">
        <v>31.6</v>
      </c>
      <c r="G27" s="76">
        <v>31.3</v>
      </c>
      <c r="H27" s="76">
        <v>30.6</v>
      </c>
      <c r="I27" s="76">
        <v>29.8</v>
      </c>
      <c r="J27" s="76">
        <v>29.1</v>
      </c>
      <c r="K27" s="76">
        <v>28.6</v>
      </c>
      <c r="L27" s="76">
        <v>28.3</v>
      </c>
      <c r="M27" s="76">
        <v>27.9</v>
      </c>
      <c r="N27" s="76">
        <v>27.6</v>
      </c>
      <c r="O27" s="76">
        <v>27.1</v>
      </c>
      <c r="P27" s="76">
        <v>26.5</v>
      </c>
      <c r="Q27" s="76">
        <v>25.9</v>
      </c>
      <c r="R27" s="76">
        <v>25.3</v>
      </c>
      <c r="S27" s="76">
        <v>24.9</v>
      </c>
      <c r="T27" s="76">
        <v>24.3</v>
      </c>
      <c r="U27" s="76"/>
      <c r="V27" s="76"/>
      <c r="W27" s="78"/>
      <c r="X27" s="83"/>
      <c r="Y27" s="84"/>
      <c r="Z27" s="80">
        <v>539.4</v>
      </c>
    </row>
    <row r="28" spans="1:26" ht="22.5" x14ac:dyDescent="0.25">
      <c r="A28" s="74" t="s">
        <v>136</v>
      </c>
      <c r="B28" s="75">
        <v>18</v>
      </c>
      <c r="C28" s="76">
        <v>32.700000000000003</v>
      </c>
      <c r="D28" s="76"/>
      <c r="E28" s="76"/>
      <c r="F28" s="76">
        <v>32.1</v>
      </c>
      <c r="G28" s="76">
        <v>31.5</v>
      </c>
      <c r="H28" s="76">
        <v>30.9</v>
      </c>
      <c r="I28" s="76">
        <v>30</v>
      </c>
      <c r="J28" s="76">
        <v>29.3</v>
      </c>
      <c r="K28" s="76">
        <v>28.8</v>
      </c>
      <c r="L28" s="76">
        <v>28.5</v>
      </c>
      <c r="M28" s="76">
        <v>28.1</v>
      </c>
      <c r="N28" s="76">
        <v>27.8</v>
      </c>
      <c r="O28" s="76">
        <v>27.3</v>
      </c>
      <c r="P28" s="76">
        <v>26.7</v>
      </c>
      <c r="Q28" s="76">
        <v>26.1</v>
      </c>
      <c r="R28" s="76">
        <v>25.5</v>
      </c>
      <c r="S28" s="76">
        <v>25.1</v>
      </c>
      <c r="T28" s="76">
        <v>24.5</v>
      </c>
      <c r="U28" s="76"/>
      <c r="V28" s="76"/>
      <c r="W28" s="78"/>
      <c r="X28" s="83"/>
      <c r="Y28" s="84"/>
      <c r="Z28" s="80">
        <v>555</v>
      </c>
    </row>
    <row r="29" spans="1:26" x14ac:dyDescent="0.25">
      <c r="A29" s="74" t="s">
        <v>137</v>
      </c>
      <c r="B29" s="75">
        <v>18</v>
      </c>
      <c r="C29" s="76">
        <v>33.799999999999997</v>
      </c>
      <c r="D29" s="76"/>
      <c r="E29" s="76"/>
      <c r="F29" s="76">
        <v>33.200000000000003</v>
      </c>
      <c r="G29" s="76">
        <v>32.6</v>
      </c>
      <c r="H29" s="76">
        <v>31.9</v>
      </c>
      <c r="I29" s="76">
        <v>31</v>
      </c>
      <c r="J29" s="76">
        <v>30.2</v>
      </c>
      <c r="K29" s="76">
        <v>29.9</v>
      </c>
      <c r="L29" s="76">
        <v>29.5</v>
      </c>
      <c r="M29" s="76">
        <v>29</v>
      </c>
      <c r="N29" s="76">
        <v>28.7</v>
      </c>
      <c r="O29" s="76">
        <v>28.2</v>
      </c>
      <c r="P29" s="76">
        <v>27.6</v>
      </c>
      <c r="Q29" s="76">
        <v>27</v>
      </c>
      <c r="R29" s="76">
        <v>26.4</v>
      </c>
      <c r="S29" s="76">
        <v>25.9</v>
      </c>
      <c r="T29" s="76">
        <v>25.3</v>
      </c>
      <c r="U29" s="76"/>
      <c r="V29" s="76"/>
      <c r="W29" s="78"/>
      <c r="X29" s="83"/>
      <c r="Y29" s="84"/>
      <c r="Z29" s="80">
        <v>525</v>
      </c>
    </row>
    <row r="30" spans="1:26" x14ac:dyDescent="0.25">
      <c r="A30" s="74" t="s">
        <v>138</v>
      </c>
      <c r="B30" s="75">
        <v>11</v>
      </c>
      <c r="C30" s="76">
        <v>33.9</v>
      </c>
      <c r="D30" s="76"/>
      <c r="E30" s="76"/>
      <c r="F30" s="76">
        <v>33.299999999999997</v>
      </c>
      <c r="G30" s="76">
        <v>32.700000000000003</v>
      </c>
      <c r="H30" s="76">
        <v>32</v>
      </c>
      <c r="I30" s="76">
        <v>31.1</v>
      </c>
      <c r="J30" s="76">
        <v>30.3</v>
      </c>
      <c r="K30" s="76">
        <v>29.9</v>
      </c>
      <c r="L30" s="76">
        <v>29.5</v>
      </c>
      <c r="M30" s="76">
        <v>29.1</v>
      </c>
      <c r="N30" s="76">
        <v>28.8</v>
      </c>
      <c r="O30" s="76">
        <v>28.3</v>
      </c>
      <c r="P30" s="76">
        <v>27.7</v>
      </c>
      <c r="Q30" s="76">
        <v>27.1</v>
      </c>
      <c r="R30" s="76">
        <v>26.4</v>
      </c>
      <c r="S30" s="76">
        <v>26</v>
      </c>
      <c r="T30" s="76">
        <v>25.3</v>
      </c>
      <c r="U30" s="76"/>
      <c r="V30" s="76"/>
      <c r="W30" s="78"/>
      <c r="X30" s="83"/>
      <c r="Y30" s="84"/>
      <c r="Z30" s="80">
        <v>571.20000000000005</v>
      </c>
    </row>
    <row r="31" spans="1:26" x14ac:dyDescent="0.25">
      <c r="A31" s="74" t="s">
        <v>139</v>
      </c>
      <c r="B31" s="75">
        <v>11</v>
      </c>
      <c r="C31" s="76">
        <v>34.200000000000003</v>
      </c>
      <c r="D31" s="76"/>
      <c r="E31" s="76"/>
      <c r="F31" s="76">
        <v>33.299999999999997</v>
      </c>
      <c r="G31" s="76">
        <v>33</v>
      </c>
      <c r="H31" s="76">
        <v>32.299999999999997</v>
      </c>
      <c r="I31" s="76">
        <v>31.4</v>
      </c>
      <c r="J31" s="76">
        <v>30.6</v>
      </c>
      <c r="K31" s="76">
        <v>30.1</v>
      </c>
      <c r="L31" s="76">
        <v>29.8</v>
      </c>
      <c r="M31" s="76">
        <v>29.4</v>
      </c>
      <c r="N31" s="76">
        <v>29</v>
      </c>
      <c r="O31" s="76">
        <v>28.6</v>
      </c>
      <c r="P31" s="76">
        <v>27.9</v>
      </c>
      <c r="Q31" s="76">
        <v>27.3</v>
      </c>
      <c r="R31" s="76">
        <v>26.7</v>
      </c>
      <c r="S31" s="76">
        <v>26.2</v>
      </c>
      <c r="T31" s="76">
        <v>25.6</v>
      </c>
      <c r="U31" s="76"/>
      <c r="V31" s="76"/>
      <c r="W31" s="78"/>
      <c r="X31" s="83"/>
      <c r="Y31" s="84"/>
      <c r="Z31" s="80">
        <v>575.6</v>
      </c>
    </row>
    <row r="32" spans="1:26" x14ac:dyDescent="0.25">
      <c r="A32" s="74" t="s">
        <v>140</v>
      </c>
      <c r="B32" s="75">
        <v>11</v>
      </c>
      <c r="C32" s="76"/>
      <c r="D32" s="76"/>
      <c r="E32" s="76"/>
      <c r="F32" s="76">
        <v>33.700000000000003</v>
      </c>
      <c r="G32" s="76">
        <v>32.9</v>
      </c>
      <c r="H32" s="76">
        <v>32.299999999999997</v>
      </c>
      <c r="I32" s="76">
        <v>31.4</v>
      </c>
      <c r="J32" s="76">
        <v>30.7</v>
      </c>
      <c r="K32" s="76">
        <v>30.2</v>
      </c>
      <c r="L32" s="76">
        <v>29.8</v>
      </c>
      <c r="M32" s="76">
        <v>29.3</v>
      </c>
      <c r="N32" s="76">
        <v>28.9</v>
      </c>
      <c r="O32" s="76">
        <v>28.4</v>
      </c>
      <c r="P32" s="76">
        <v>27.9</v>
      </c>
      <c r="Q32" s="76">
        <v>27.4</v>
      </c>
      <c r="R32" s="76">
        <v>26.8</v>
      </c>
      <c r="S32" s="76">
        <v>26.2</v>
      </c>
      <c r="T32" s="76">
        <v>25.6</v>
      </c>
      <c r="U32" s="76">
        <v>24.9</v>
      </c>
      <c r="V32" s="76">
        <v>24.2</v>
      </c>
      <c r="W32" s="78">
        <v>23.4</v>
      </c>
      <c r="X32" s="83"/>
      <c r="Y32" s="84"/>
      <c r="Z32" s="80">
        <v>575.6</v>
      </c>
    </row>
    <row r="33" spans="1:26" ht="22.5" x14ac:dyDescent="0.25">
      <c r="A33" s="74" t="s">
        <v>141</v>
      </c>
      <c r="B33" s="75">
        <v>9</v>
      </c>
      <c r="C33" s="76"/>
      <c r="D33" s="76"/>
      <c r="E33" s="76"/>
      <c r="F33" s="76"/>
      <c r="G33" s="76"/>
      <c r="H33" s="76"/>
      <c r="I33" s="76">
        <v>15.5</v>
      </c>
      <c r="J33" s="76">
        <v>15</v>
      </c>
      <c r="K33" s="76">
        <v>14.6</v>
      </c>
      <c r="L33" s="76">
        <v>14</v>
      </c>
      <c r="M33" s="76">
        <v>13.3</v>
      </c>
      <c r="N33" s="76">
        <v>12.6</v>
      </c>
      <c r="O33" s="76">
        <v>11.9</v>
      </c>
      <c r="P33" s="76">
        <v>11.2</v>
      </c>
      <c r="Q33" s="77"/>
      <c r="R33" s="76"/>
      <c r="S33" s="76"/>
      <c r="T33" s="76"/>
      <c r="U33" s="76"/>
      <c r="V33" s="76"/>
      <c r="W33" s="78"/>
      <c r="X33" s="83"/>
      <c r="Y33" s="84"/>
      <c r="Z33" s="80">
        <v>281.5</v>
      </c>
    </row>
    <row r="34" spans="1:26" x14ac:dyDescent="0.25">
      <c r="A34" s="74" t="s">
        <v>142</v>
      </c>
      <c r="B34" s="75"/>
      <c r="C34" s="76"/>
      <c r="D34" s="76"/>
      <c r="E34" s="76"/>
      <c r="F34" s="76"/>
      <c r="G34" s="76"/>
      <c r="H34" s="76"/>
      <c r="I34" s="76">
        <v>14.4</v>
      </c>
      <c r="J34" s="76">
        <v>14.4</v>
      </c>
      <c r="K34" s="76">
        <v>14.4</v>
      </c>
      <c r="L34" s="76">
        <v>14.4</v>
      </c>
      <c r="M34" s="76">
        <v>14.4</v>
      </c>
      <c r="N34" s="76">
        <v>14.4</v>
      </c>
      <c r="O34" s="76">
        <v>14.4</v>
      </c>
      <c r="P34" s="76">
        <v>14.4</v>
      </c>
      <c r="Q34" s="76"/>
      <c r="R34" s="76"/>
      <c r="S34" s="76"/>
      <c r="T34" s="76"/>
      <c r="U34" s="76"/>
      <c r="V34" s="76"/>
      <c r="W34" s="78"/>
      <c r="X34" s="83"/>
      <c r="Y34" s="84"/>
      <c r="Z34" s="80">
        <v>404.5</v>
      </c>
    </row>
    <row r="35" spans="1:26" x14ac:dyDescent="0.25">
      <c r="A35" s="74" t="s">
        <v>143</v>
      </c>
      <c r="B35" s="75"/>
      <c r="C35" s="76"/>
      <c r="D35" s="76"/>
      <c r="E35" s="76"/>
      <c r="F35" s="76"/>
      <c r="G35" s="76"/>
      <c r="H35" s="76"/>
      <c r="I35" s="76">
        <v>14.2</v>
      </c>
      <c r="J35" s="76">
        <v>14.2</v>
      </c>
      <c r="K35" s="76">
        <v>14.2</v>
      </c>
      <c r="L35" s="76">
        <v>14.2</v>
      </c>
      <c r="M35" s="76">
        <v>14.2</v>
      </c>
      <c r="N35" s="76">
        <v>14.2</v>
      </c>
      <c r="O35" s="76">
        <v>14.2</v>
      </c>
      <c r="P35" s="76">
        <v>14.2</v>
      </c>
      <c r="Q35" s="76"/>
      <c r="R35" s="76"/>
      <c r="S35" s="76"/>
      <c r="T35" s="76"/>
      <c r="U35" s="76"/>
      <c r="V35" s="76"/>
      <c r="W35" s="78"/>
      <c r="X35" s="83"/>
      <c r="Y35" s="84"/>
      <c r="Z35" s="80">
        <v>404.5</v>
      </c>
    </row>
    <row r="36" spans="1:26" ht="78.75" x14ac:dyDescent="0.25">
      <c r="A36" s="74" t="s">
        <v>144</v>
      </c>
      <c r="B36" s="75">
        <v>12</v>
      </c>
      <c r="C36" s="76">
        <v>11.4</v>
      </c>
      <c r="D36" s="76"/>
      <c r="E36" s="85"/>
      <c r="F36" s="76">
        <v>11.1</v>
      </c>
      <c r="G36" s="76">
        <v>10.8</v>
      </c>
      <c r="H36" s="76">
        <v>10.5</v>
      </c>
      <c r="I36" s="76">
        <v>10</v>
      </c>
      <c r="J36" s="76">
        <v>9.6</v>
      </c>
      <c r="K36" s="76">
        <v>9.1999999999999993</v>
      </c>
      <c r="L36" s="76">
        <v>8.6999999999999993</v>
      </c>
      <c r="M36" s="76"/>
      <c r="N36" s="76"/>
      <c r="O36" s="76"/>
      <c r="P36" s="76"/>
      <c r="Q36" s="76"/>
      <c r="R36" s="85"/>
      <c r="S36" s="85"/>
      <c r="T36" s="85"/>
      <c r="U36" s="85"/>
      <c r="V36" s="85"/>
      <c r="W36" s="86"/>
      <c r="X36" s="83"/>
      <c r="Y36" s="84"/>
      <c r="Z36" s="80">
        <v>169.8</v>
      </c>
    </row>
    <row r="37" spans="1:26" ht="33.75" x14ac:dyDescent="0.25">
      <c r="A37" s="74" t="s">
        <v>145</v>
      </c>
      <c r="B37" s="75">
        <v>12</v>
      </c>
      <c r="C37" s="76">
        <v>11.6</v>
      </c>
      <c r="D37" s="76"/>
      <c r="E37" s="85"/>
      <c r="F37" s="76">
        <v>11.3</v>
      </c>
      <c r="G37" s="76">
        <v>11</v>
      </c>
      <c r="H37" s="76">
        <v>10.7</v>
      </c>
      <c r="I37" s="76">
        <v>10.199999999999999</v>
      </c>
      <c r="J37" s="76">
        <v>9.6999999999999993</v>
      </c>
      <c r="K37" s="76">
        <v>9.4</v>
      </c>
      <c r="L37" s="76">
        <v>8.9</v>
      </c>
      <c r="M37" s="76"/>
      <c r="N37" s="76"/>
      <c r="O37" s="76"/>
      <c r="P37" s="76"/>
      <c r="Q37" s="76"/>
      <c r="R37" s="85"/>
      <c r="S37" s="85"/>
      <c r="T37" s="85"/>
      <c r="U37" s="85"/>
      <c r="V37" s="85"/>
      <c r="W37" s="86"/>
      <c r="X37" s="83"/>
      <c r="Y37" s="84"/>
      <c r="Z37" s="80">
        <v>167.9</v>
      </c>
    </row>
    <row r="38" spans="1:26" ht="33.75" x14ac:dyDescent="0.25">
      <c r="A38" s="74" t="s">
        <v>146</v>
      </c>
      <c r="B38" s="75">
        <v>12</v>
      </c>
      <c r="C38" s="76">
        <v>11.7</v>
      </c>
      <c r="D38" s="76"/>
      <c r="E38" s="85"/>
      <c r="F38" s="76">
        <v>11.4</v>
      </c>
      <c r="G38" s="76">
        <v>11.1</v>
      </c>
      <c r="H38" s="76">
        <v>10.8</v>
      </c>
      <c r="I38" s="76">
        <v>10.3</v>
      </c>
      <c r="J38" s="76">
        <v>9.8000000000000007</v>
      </c>
      <c r="K38" s="76">
        <v>9.5</v>
      </c>
      <c r="L38" s="76">
        <v>9</v>
      </c>
      <c r="M38" s="76"/>
      <c r="N38" s="76"/>
      <c r="O38" s="76"/>
      <c r="P38" s="76"/>
      <c r="Q38" s="76"/>
      <c r="R38" s="85"/>
      <c r="S38" s="85"/>
      <c r="T38" s="85"/>
      <c r="U38" s="85"/>
      <c r="V38" s="85"/>
      <c r="W38" s="86"/>
      <c r="X38" s="83"/>
      <c r="Y38" s="84"/>
      <c r="Z38" s="80">
        <v>167.3</v>
      </c>
    </row>
    <row r="39" spans="1:26" ht="15.75" thickBot="1" x14ac:dyDescent="0.3">
      <c r="A39" s="87" t="s">
        <v>96</v>
      </c>
      <c r="B39" s="88">
        <v>22</v>
      </c>
      <c r="C39" s="89">
        <v>19.2</v>
      </c>
      <c r="D39" s="89">
        <v>19.100000000000001</v>
      </c>
      <c r="E39" s="90">
        <v>19.100000000000001</v>
      </c>
      <c r="F39" s="89">
        <v>19.2</v>
      </c>
      <c r="G39" s="89">
        <v>19.5</v>
      </c>
      <c r="H39" s="89">
        <v>20</v>
      </c>
      <c r="I39" s="89">
        <v>20.8</v>
      </c>
      <c r="J39" s="89">
        <v>21.5</v>
      </c>
      <c r="K39" s="89">
        <v>22</v>
      </c>
      <c r="L39" s="89">
        <v>22.5</v>
      </c>
      <c r="M39" s="89">
        <v>22.6</v>
      </c>
      <c r="N39" s="89">
        <v>22.6</v>
      </c>
      <c r="O39" s="89"/>
      <c r="P39" s="89"/>
      <c r="Q39" s="89"/>
      <c r="R39" s="90"/>
      <c r="S39" s="90"/>
      <c r="T39" s="90"/>
      <c r="U39" s="90"/>
      <c r="V39" s="90"/>
      <c r="W39" s="91"/>
      <c r="X39" s="83"/>
      <c r="Y39" s="84"/>
      <c r="Z39" s="80">
        <v>508.2</v>
      </c>
    </row>
    <row r="40" spans="1:26" x14ac:dyDescent="0.25">
      <c r="A40" s="92"/>
      <c r="B40" s="93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</row>
    <row r="41" spans="1:26" x14ac:dyDescent="0.25">
      <c r="A41" s="92"/>
      <c r="B41" s="93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</row>
    <row r="42" spans="1:26" x14ac:dyDescent="0.25">
      <c r="A42" s="92"/>
      <c r="B42" s="93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</row>
    <row r="43" spans="1:26" x14ac:dyDescent="0.25">
      <c r="A43" s="95"/>
      <c r="B43" s="93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</row>
    <row r="44" spans="1:26" x14ac:dyDescent="0.25">
      <c r="A44" s="92"/>
      <c r="B44" s="93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</row>
    <row r="45" spans="1:26" x14ac:dyDescent="0.25">
      <c r="A45" s="92"/>
      <c r="B45" s="93"/>
      <c r="C45" s="94"/>
      <c r="D45" s="94"/>
      <c r="E45" s="94"/>
      <c r="F45" s="94"/>
      <c r="G45" s="94"/>
      <c r="H45" s="94"/>
      <c r="I45" s="97"/>
      <c r="J45" s="97"/>
      <c r="K45" s="97"/>
      <c r="L45" s="97"/>
      <c r="M45" s="97"/>
      <c r="N45" s="97"/>
      <c r="O45" s="97"/>
      <c r="P45" s="97"/>
      <c r="Q45" s="94"/>
      <c r="R45" s="94"/>
      <c r="S45" s="94"/>
      <c r="T45" s="94"/>
      <c r="U45" s="94"/>
      <c r="V45" s="94"/>
      <c r="W45" s="94"/>
    </row>
    <row r="46" spans="1:26" x14ac:dyDescent="0.25">
      <c r="A46" s="92"/>
      <c r="B46" s="93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</row>
    <row r="47" spans="1:26" x14ac:dyDescent="0.25">
      <c r="A47" s="98"/>
      <c r="B47" s="93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</row>
    <row r="48" spans="1:26" x14ac:dyDescent="0.25">
      <c r="A48" s="98"/>
      <c r="B48" s="93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</row>
    <row r="49" spans="1:23" x14ac:dyDescent="0.25">
      <c r="A49" s="98"/>
      <c r="B49" s="93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</row>
    <row r="50" spans="1:23" x14ac:dyDescent="0.25">
      <c r="A50" s="98"/>
      <c r="B50" s="93"/>
      <c r="C50" s="99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</row>
    <row r="51" spans="1:23" x14ac:dyDescent="0.25">
      <c r="A51" s="98"/>
      <c r="B51" s="93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</row>
    <row r="52" spans="1:23" x14ac:dyDescent="0.25">
      <c r="A52" s="100"/>
      <c r="B52" s="93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</row>
  </sheetData>
  <sheetProtection algorithmName="SHA-512" hashValue="C/SBZ+cx/+LCAcWfrb2SzgGBuVjCNFz5ADnyydpwmOUUX6qU3re9NGcr5D5iR3K0PkReqxFfzrSANVwPQKCNpg==" saltValue="7mPswBlMrURBzPZEHwgL9Q==" spinCount="100000" sheet="1" objects="1" scenarios="1"/>
  <mergeCells count="3">
    <mergeCell ref="A1:W1"/>
    <mergeCell ref="A2:W2"/>
    <mergeCell ref="A3:W3"/>
  </mergeCells>
  <pageMargins left="0.70866141732283472" right="0.70866141732283472" top="0.74803149606299213" bottom="0.74803149606299213" header="0.31496062992125984" footer="0.31496062992125984"/>
  <pageSetup paperSize="8" scale="82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8D4CA19F684741BC6F5E43DDFF0407" ma:contentTypeVersion="9" ma:contentTypeDescription="Create a new document." ma:contentTypeScope="" ma:versionID="c63f89d987e65341d102dfc4334361ae">
  <xsd:schema xmlns:xsd="http://www.w3.org/2001/XMLSchema" xmlns:xs="http://www.w3.org/2001/XMLSchema" xmlns:p="http://schemas.microsoft.com/office/2006/metadata/properties" xmlns:ns3="c863c143-dc74-40ac-94e3-9ee5ab48542e" targetNamespace="http://schemas.microsoft.com/office/2006/metadata/properties" ma:root="true" ma:fieldsID="419e22c1e5a0b3c839bd73d48528d671" ns3:_="">
    <xsd:import namespace="c863c143-dc74-40ac-94e3-9ee5ab4854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63c143-dc74-40ac-94e3-9ee5ab4854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BBC3A5E-DC3E-4A0D-8C8E-347DCD71CB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172828-6429-4967-8AAF-B6395913E906}">
  <ds:schemaRefs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  <ds:schemaRef ds:uri="http://www.w3.org/XML/1998/namespace"/>
    <ds:schemaRef ds:uri="c863c143-dc74-40ac-94e3-9ee5ab48542e"/>
    <ds:schemaRef ds:uri="http://schemas.microsoft.com/office/2006/documentManagement/types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EA2EB85-791F-4289-B965-4C0B8C2CEA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63c143-dc74-40ac-94e3-9ee5ab4854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Pipe Rack - Calculation</vt:lpstr>
      <vt:lpstr>Pipe Rack Load - Structural</vt:lpstr>
      <vt:lpstr>Expansion!Print_Area</vt:lpstr>
      <vt:lpstr>Modulus!Print_Area</vt:lpstr>
      <vt:lpstr>'Pipe Database'!Print_Area</vt:lpstr>
      <vt:lpstr>'Pipe Rack - Calculation'!Print_Area</vt:lpstr>
      <vt:lpstr>'Pipe Rack Load - Structural'!Print_Area</vt:lpstr>
      <vt:lpstr>'Pipe Rack Load - Structural'!Print_Titles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Westwood, Clive</dc:creator>
  <cp:lastModifiedBy>Lakshmanan K</cp:lastModifiedBy>
  <cp:lastPrinted>2022-06-13T12:19:36Z</cp:lastPrinted>
  <dcterms:created xsi:type="dcterms:W3CDTF">2020-06-11T08:35:21Z</dcterms:created>
  <dcterms:modified xsi:type="dcterms:W3CDTF">2022-08-29T11:19:17Z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0x010100188D4CA19F684741BC6F5E43DDFF0407</vt:lpwstr>
  </property>
</Properties>
</file>