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628"/>
  <fileSharing readOnlyRecommended="1"/>
  <workbookPr defaultThemeVersion="124226"/>
  <mc:AlternateContent xmlns:mc="http://schemas.openxmlformats.org/markup-compatibility/2006">
    <mc:Choice Requires="x15">
      <x15ac:absPath xmlns:x15ac="http://schemas.microsoft.com/office/spreadsheetml/2010/11/ac" url="U:\JI-901U\Discipline Structure\Piping Engineering\STRESS and SUPPORTS\Technical\Guided Cantilever Method-To Be Reviewed\"/>
    </mc:Choice>
  </mc:AlternateContent>
  <xr:revisionPtr revIDLastSave="0" documentId="8_{DBE493BE-432E-41D2-BEF7-6E31F916C537}" xr6:coauthVersionLast="46" xr6:coauthVersionMax="46" xr10:uidLastSave="{00000000-0000-0000-0000-000000000000}"/>
  <bookViews>
    <workbookView xWindow="-120" yWindow="-120" windowWidth="24240" windowHeight="13140" xr2:uid="{00000000-000D-0000-FFFF-FFFF00000000}"/>
  </bookViews>
  <sheets>
    <sheet name="BENDING LEG  CHECK" sheetId="4" r:id="rId1"/>
    <sheet name="MATERIAL  DATA" sheetId="2" r:id="rId2"/>
    <sheet name="STD PIPE WALL THICKNESS" sheetId="3" r:id="rId3"/>
    <sheet name="SIF CHECK" sheetId="5" r:id="rId4"/>
  </sheets>
  <definedNames>
    <definedName name="_xlnm._FilterDatabase" localSheetId="3" hidden="1">'SIF CHECK'!$A$7:$U$119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1" i="4" l="1"/>
  <c r="H44" i="2"/>
  <c r="H47" i="2" s="1"/>
  <c r="I47" i="2" s="1"/>
  <c r="H36" i="2"/>
  <c r="B44" i="2"/>
  <c r="B46" i="2" s="1"/>
  <c r="C46" i="2" s="1"/>
  <c r="B36" i="2"/>
  <c r="B47" i="2" l="1"/>
  <c r="C47" i="2" s="1"/>
  <c r="C44" i="2" s="1"/>
  <c r="H46" i="2"/>
  <c r="I46" i="2" s="1"/>
  <c r="I44" i="2" s="1"/>
  <c r="B102" i="5"/>
  <c r="B98" i="5"/>
  <c r="B94" i="5"/>
  <c r="B90" i="5"/>
  <c r="B86" i="5"/>
  <c r="B82" i="5"/>
  <c r="B78" i="5"/>
  <c r="B74" i="5"/>
  <c r="B70" i="5"/>
  <c r="B66" i="5"/>
  <c r="B62" i="5"/>
  <c r="B58" i="5"/>
  <c r="B54" i="5"/>
  <c r="B50" i="5"/>
  <c r="B46" i="5"/>
  <c r="B42" i="5"/>
  <c r="B38" i="5"/>
  <c r="B34" i="5"/>
  <c r="B30" i="5"/>
  <c r="B26" i="5"/>
  <c r="B22" i="5"/>
  <c r="B18" i="5"/>
  <c r="B14" i="5"/>
  <c r="B10" i="5"/>
  <c r="N100" i="5"/>
  <c r="K100" i="5"/>
  <c r="J100" i="5"/>
  <c r="I100" i="5"/>
  <c r="H100" i="5"/>
  <c r="F100" i="5"/>
  <c r="N96" i="5"/>
  <c r="K96" i="5"/>
  <c r="J96" i="5"/>
  <c r="I96" i="5"/>
  <c r="H96" i="5"/>
  <c r="F96" i="5"/>
  <c r="N92" i="5"/>
  <c r="K92" i="5"/>
  <c r="J92" i="5"/>
  <c r="I92" i="5"/>
  <c r="H92" i="5"/>
  <c r="F92" i="5"/>
  <c r="N88" i="5"/>
  <c r="J88" i="5"/>
  <c r="I88" i="5"/>
  <c r="H88" i="5"/>
  <c r="G88" i="5"/>
  <c r="F88" i="5"/>
  <c r="E88" i="5"/>
  <c r="D88" i="5"/>
  <c r="N84" i="5"/>
  <c r="J84" i="5"/>
  <c r="I84" i="5"/>
  <c r="H84" i="5"/>
  <c r="F84" i="5"/>
  <c r="N80" i="5"/>
  <c r="J80" i="5"/>
  <c r="H80" i="5"/>
  <c r="F80" i="5"/>
  <c r="T76" i="5"/>
  <c r="S76" i="5"/>
  <c r="R76" i="5"/>
  <c r="Q76" i="5"/>
  <c r="P76" i="5"/>
  <c r="O76" i="5"/>
  <c r="N76" i="5"/>
  <c r="M76" i="5"/>
  <c r="L76" i="5"/>
  <c r="K76" i="5"/>
  <c r="J76" i="5"/>
  <c r="I76" i="5"/>
  <c r="H76" i="5"/>
  <c r="G76" i="5"/>
  <c r="F76" i="5"/>
  <c r="E76" i="5"/>
  <c r="D76" i="5"/>
  <c r="T72" i="5"/>
  <c r="S72" i="5"/>
  <c r="R72" i="5"/>
  <c r="Q72" i="5"/>
  <c r="O72" i="5"/>
  <c r="N72" i="5"/>
  <c r="M72" i="5"/>
  <c r="J72" i="5"/>
  <c r="I72" i="5"/>
  <c r="H72" i="5"/>
  <c r="G72" i="5"/>
  <c r="F72" i="5"/>
  <c r="E72" i="5"/>
  <c r="D72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/>
  <c r="D68" i="5"/>
  <c r="T64" i="5"/>
  <c r="S64" i="5"/>
  <c r="R64" i="5"/>
  <c r="Q64" i="5"/>
  <c r="P64" i="5"/>
  <c r="O64" i="5"/>
  <c r="N64" i="5"/>
  <c r="M64" i="5"/>
  <c r="L64" i="5"/>
  <c r="K64" i="5"/>
  <c r="J64" i="5"/>
  <c r="I64" i="5"/>
  <c r="H64" i="5"/>
  <c r="G64" i="5"/>
  <c r="F64" i="5"/>
  <c r="E64" i="5"/>
  <c r="D64" i="5"/>
  <c r="T60" i="5"/>
  <c r="S60" i="5"/>
  <c r="R60" i="5"/>
  <c r="Q60" i="5"/>
  <c r="P60" i="5"/>
  <c r="O60" i="5"/>
  <c r="N60" i="5"/>
  <c r="M60" i="5"/>
  <c r="L60" i="5"/>
  <c r="K60" i="5"/>
  <c r="J60" i="5"/>
  <c r="I60" i="5"/>
  <c r="H60" i="5"/>
  <c r="G60" i="5"/>
  <c r="F60" i="5"/>
  <c r="E60" i="5"/>
  <c r="D60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U40" i="5"/>
  <c r="T40" i="5"/>
  <c r="P40" i="5"/>
  <c r="O40" i="5"/>
  <c r="N40" i="5"/>
  <c r="L40" i="5"/>
  <c r="K40" i="5"/>
  <c r="J40" i="5"/>
  <c r="G40" i="5"/>
  <c r="F40" i="5"/>
  <c r="E40" i="5"/>
  <c r="D40" i="5"/>
  <c r="U36" i="5"/>
  <c r="T36" i="5"/>
  <c r="P36" i="5"/>
  <c r="O36" i="5"/>
  <c r="N36" i="5"/>
  <c r="L36" i="5"/>
  <c r="K36" i="5"/>
  <c r="J36" i="5"/>
  <c r="I36" i="5"/>
  <c r="G36" i="5"/>
  <c r="F36" i="5"/>
  <c r="E36" i="5"/>
  <c r="D36" i="5"/>
  <c r="U32" i="5"/>
  <c r="T32" i="5"/>
  <c r="P32" i="5"/>
  <c r="O32" i="5"/>
  <c r="N32" i="5"/>
  <c r="L32" i="5"/>
  <c r="K32" i="5"/>
  <c r="J32" i="5"/>
  <c r="I32" i="5"/>
  <c r="G32" i="5"/>
  <c r="F32" i="5"/>
  <c r="E32" i="5"/>
  <c r="D32" i="5"/>
  <c r="U28" i="5"/>
  <c r="T28" i="5"/>
  <c r="P28" i="5"/>
  <c r="O28" i="5"/>
  <c r="N28" i="5"/>
  <c r="L28" i="5"/>
  <c r="K28" i="5"/>
  <c r="J28" i="5"/>
  <c r="I28" i="5"/>
  <c r="G28" i="5"/>
  <c r="F28" i="5"/>
  <c r="E28" i="5"/>
  <c r="D28" i="5"/>
  <c r="U24" i="5"/>
  <c r="T24" i="5"/>
  <c r="P24" i="5"/>
  <c r="O24" i="5"/>
  <c r="N24" i="5"/>
  <c r="L24" i="5"/>
  <c r="K24" i="5"/>
  <c r="J24" i="5"/>
  <c r="I24" i="5"/>
  <c r="G24" i="5"/>
  <c r="F24" i="5"/>
  <c r="E24" i="5"/>
  <c r="D24" i="5"/>
  <c r="U20" i="5"/>
  <c r="T20" i="5"/>
  <c r="P20" i="5"/>
  <c r="O20" i="5"/>
  <c r="N20" i="5"/>
  <c r="L20" i="5"/>
  <c r="K20" i="5"/>
  <c r="J20" i="5"/>
  <c r="I20" i="5"/>
  <c r="G20" i="5"/>
  <c r="F20" i="5"/>
  <c r="E20" i="5"/>
  <c r="D20" i="5"/>
  <c r="U16" i="5"/>
  <c r="T16" i="5"/>
  <c r="P16" i="5"/>
  <c r="O16" i="5"/>
  <c r="N16" i="5"/>
  <c r="L16" i="5"/>
  <c r="K16" i="5"/>
  <c r="J16" i="5"/>
  <c r="I16" i="5"/>
  <c r="G16" i="5"/>
  <c r="F16" i="5"/>
  <c r="E16" i="5"/>
  <c r="D16" i="5"/>
  <c r="U12" i="5"/>
  <c r="T12" i="5"/>
  <c r="P12" i="5"/>
  <c r="O12" i="5"/>
  <c r="N12" i="5"/>
  <c r="L12" i="5"/>
  <c r="K12" i="5"/>
  <c r="J12" i="5"/>
  <c r="I12" i="5"/>
  <c r="G12" i="5"/>
  <c r="F12" i="5"/>
  <c r="E12" i="5"/>
  <c r="D12" i="5"/>
  <c r="B99" i="5"/>
  <c r="B101" i="5" s="1"/>
  <c r="B95" i="5"/>
  <c r="B97" i="5" s="1"/>
  <c r="B91" i="5"/>
  <c r="B93" i="5" s="1"/>
  <c r="B87" i="5"/>
  <c r="B89" i="5" s="1"/>
  <c r="B83" i="5"/>
  <c r="B85" i="5" s="1"/>
  <c r="B79" i="5"/>
  <c r="B80" i="5" s="1"/>
  <c r="B75" i="5"/>
  <c r="B77" i="5" s="1"/>
  <c r="B71" i="5"/>
  <c r="B73" i="5" s="1"/>
  <c r="B67" i="5"/>
  <c r="B69" i="5" s="1"/>
  <c r="B63" i="5"/>
  <c r="B65" i="5" s="1"/>
  <c r="B59" i="5"/>
  <c r="B61" i="5" s="1"/>
  <c r="B55" i="5"/>
  <c r="B57" i="5" s="1"/>
  <c r="B51" i="5"/>
  <c r="B52" i="5" s="1"/>
  <c r="B47" i="5"/>
  <c r="B49" i="5" s="1"/>
  <c r="B43" i="5"/>
  <c r="B45" i="5" s="1"/>
  <c r="B39" i="5"/>
  <c r="B41" i="5" s="1"/>
  <c r="B35" i="5"/>
  <c r="B37" i="5" s="1"/>
  <c r="B31" i="5"/>
  <c r="B33" i="5" s="1"/>
  <c r="B27" i="5"/>
  <c r="B29" i="5" s="1"/>
  <c r="B23" i="5"/>
  <c r="B25" i="5" s="1"/>
  <c r="B19" i="5"/>
  <c r="B21" i="5" s="1"/>
  <c r="B15" i="5"/>
  <c r="B17" i="5" s="1"/>
  <c r="B11" i="5"/>
  <c r="B13" i="5" s="1"/>
  <c r="B7" i="5"/>
  <c r="U8" i="5"/>
  <c r="T8" i="5"/>
  <c r="P8" i="5"/>
  <c r="O8" i="5"/>
  <c r="N8" i="5"/>
  <c r="L8" i="5"/>
  <c r="K8" i="5"/>
  <c r="J8" i="5"/>
  <c r="I8" i="5"/>
  <c r="G8" i="5"/>
  <c r="F8" i="5"/>
  <c r="E8" i="5"/>
  <c r="D8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9" i="5"/>
  <c r="M18" i="2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M38" i="2" s="1"/>
  <c r="M39" i="2" s="1"/>
  <c r="M40" i="2" s="1"/>
  <c r="M41" i="2" s="1"/>
  <c r="M42" i="2" s="1"/>
  <c r="M43" i="2" s="1"/>
  <c r="M44" i="2" s="1"/>
  <c r="M45" i="2" s="1"/>
  <c r="M46" i="2" s="1"/>
  <c r="M47" i="2" s="1"/>
  <c r="M48" i="2" s="1"/>
  <c r="M49" i="2" s="1"/>
  <c r="M50" i="2" s="1"/>
  <c r="M51" i="2" s="1"/>
  <c r="M52" i="2" s="1"/>
  <c r="M53" i="2" s="1"/>
  <c r="M54" i="2" s="1"/>
  <c r="M55" i="2" s="1"/>
  <c r="M56" i="2" s="1"/>
  <c r="M57" i="2" s="1"/>
  <c r="M58" i="2" s="1"/>
  <c r="M59" i="2" s="1"/>
  <c r="M60" i="2" s="1"/>
  <c r="M61" i="2" s="1"/>
  <c r="M62" i="2" s="1"/>
  <c r="M63" i="2" s="1"/>
  <c r="M64" i="2" s="1"/>
  <c r="M65" i="2" s="1"/>
  <c r="M66" i="2" s="1"/>
  <c r="M67" i="2" s="1"/>
  <c r="M68" i="2" s="1"/>
  <c r="M69" i="2" s="1"/>
  <c r="M70" i="2" s="1"/>
  <c r="M71" i="2" s="1"/>
  <c r="M72" i="2" s="1"/>
  <c r="M73" i="2" s="1"/>
  <c r="M74" i="2" s="1"/>
  <c r="M75" i="2" s="1"/>
  <c r="M76" i="2" s="1"/>
  <c r="M77" i="2" s="1"/>
  <c r="M78" i="2" s="1"/>
  <c r="M79" i="2" s="1"/>
  <c r="M80" i="2" s="1"/>
  <c r="M81" i="2" s="1"/>
  <c r="M82" i="2" s="1"/>
  <c r="M83" i="2" s="1"/>
  <c r="M84" i="2" s="1"/>
  <c r="M85" i="2" s="1"/>
  <c r="M86" i="2" s="1"/>
  <c r="M87" i="2" s="1"/>
  <c r="M88" i="2" s="1"/>
  <c r="M89" i="2" s="1"/>
  <c r="M90" i="2" s="1"/>
  <c r="M91" i="2" s="1"/>
  <c r="M92" i="2" s="1"/>
  <c r="M93" i="2" s="1"/>
  <c r="M94" i="2" s="1"/>
  <c r="M95" i="2" s="1"/>
  <c r="M96" i="2" s="1"/>
  <c r="M97" i="2" s="1"/>
  <c r="M98" i="2" s="1"/>
  <c r="M99" i="2" s="1"/>
  <c r="M100" i="2" s="1"/>
  <c r="M101" i="2" s="1"/>
  <c r="M102" i="2" s="1"/>
  <c r="M103" i="2" s="1"/>
  <c r="M104" i="2" s="1"/>
  <c r="M105" i="2" s="1"/>
  <c r="M106" i="2" s="1"/>
  <c r="M107" i="2" s="1"/>
  <c r="M108" i="2" s="1"/>
  <c r="M109" i="2" s="1"/>
  <c r="M110" i="2" s="1"/>
  <c r="M111" i="2" s="1"/>
  <c r="M112" i="2" s="1"/>
  <c r="M113" i="2" s="1"/>
  <c r="M114" i="2" s="1"/>
  <c r="M115" i="2" s="1"/>
  <c r="M116" i="2" s="1"/>
  <c r="M117" i="2" s="1"/>
  <c r="M118" i="2" s="1"/>
  <c r="M5" i="2"/>
  <c r="M6" i="2" s="1"/>
  <c r="M7" i="2" s="1"/>
  <c r="M8" i="2" s="1"/>
  <c r="M9" i="2" s="1"/>
  <c r="M10" i="2" s="1"/>
  <c r="M11" i="2" s="1"/>
  <c r="M12" i="2" s="1"/>
  <c r="M13" i="2" s="1"/>
  <c r="M14" i="2" s="1"/>
  <c r="M15" i="2" s="1"/>
  <c r="M16" i="2" s="1"/>
  <c r="M17" i="2" s="1"/>
  <c r="M4" i="2"/>
  <c r="H38" i="2"/>
  <c r="I38" i="2" s="1"/>
  <c r="B38" i="2"/>
  <c r="C38" i="2" s="1"/>
  <c r="H39" i="2"/>
  <c r="I39" i="2" s="1"/>
  <c r="U17" i="5" l="1"/>
  <c r="U18" i="5" s="1"/>
  <c r="U13" i="5"/>
  <c r="U14" i="5" s="1"/>
  <c r="U45" i="5"/>
  <c r="U46" i="5" s="1"/>
  <c r="Q15" i="4"/>
  <c r="Q17" i="4" s="1"/>
  <c r="U21" i="5"/>
  <c r="U22" i="5" s="1"/>
  <c r="U9" i="5"/>
  <c r="U25" i="5"/>
  <c r="U26" i="5" s="1"/>
  <c r="U41" i="5"/>
  <c r="U42" i="5" s="1"/>
  <c r="U33" i="5"/>
  <c r="U34" i="5" s="1"/>
  <c r="T33" i="5"/>
  <c r="T34" i="5" s="1"/>
  <c r="N33" i="5"/>
  <c r="N34" i="5" s="1"/>
  <c r="J33" i="5"/>
  <c r="J34" i="5" s="1"/>
  <c r="D33" i="5"/>
  <c r="D34" i="5" s="1"/>
  <c r="P33" i="5"/>
  <c r="P34" i="5" s="1"/>
  <c r="L33" i="5"/>
  <c r="L34" i="5" s="1"/>
  <c r="F33" i="5"/>
  <c r="F34" i="5" s="1"/>
  <c r="U49" i="5"/>
  <c r="U50" i="5" s="1"/>
  <c r="R49" i="5"/>
  <c r="R50" i="5" s="1"/>
  <c r="N49" i="5"/>
  <c r="N50" i="5" s="1"/>
  <c r="J49" i="5"/>
  <c r="J50" i="5" s="1"/>
  <c r="F49" i="5"/>
  <c r="F50" i="5" s="1"/>
  <c r="T49" i="5"/>
  <c r="T50" i="5" s="1"/>
  <c r="P49" i="5"/>
  <c r="P50" i="5" s="1"/>
  <c r="L49" i="5"/>
  <c r="L50" i="5" s="1"/>
  <c r="H49" i="5"/>
  <c r="H50" i="5" s="1"/>
  <c r="D49" i="5"/>
  <c r="D50" i="5" s="1"/>
  <c r="U29" i="5"/>
  <c r="U30" i="5" s="1"/>
  <c r="T29" i="5"/>
  <c r="T30" i="5" s="1"/>
  <c r="N29" i="5"/>
  <c r="N30" i="5" s="1"/>
  <c r="J29" i="5"/>
  <c r="J30" i="5" s="1"/>
  <c r="D29" i="5"/>
  <c r="D30" i="5" s="1"/>
  <c r="P29" i="5"/>
  <c r="P30" i="5" s="1"/>
  <c r="L29" i="5"/>
  <c r="L30" i="5" s="1"/>
  <c r="F29" i="5"/>
  <c r="F30" i="5" s="1"/>
  <c r="U37" i="5"/>
  <c r="U38" i="5" s="1"/>
  <c r="T37" i="5"/>
  <c r="T38" i="5" s="1"/>
  <c r="N37" i="5"/>
  <c r="N38" i="5" s="1"/>
  <c r="J37" i="5"/>
  <c r="J38" i="5" s="1"/>
  <c r="D37" i="5"/>
  <c r="D38" i="5" s="1"/>
  <c r="P37" i="5"/>
  <c r="P38" i="5" s="1"/>
  <c r="L37" i="5"/>
  <c r="L38" i="5" s="1"/>
  <c r="F37" i="5"/>
  <c r="F38" i="5" s="1"/>
  <c r="N85" i="5"/>
  <c r="N86" i="5" s="1"/>
  <c r="H85" i="5"/>
  <c r="H86" i="5" s="1"/>
  <c r="J85" i="5"/>
  <c r="J86" i="5" s="1"/>
  <c r="F85" i="5"/>
  <c r="F86" i="5" s="1"/>
  <c r="N93" i="5"/>
  <c r="N94" i="5" s="1"/>
  <c r="H93" i="5"/>
  <c r="H94" i="5" s="1"/>
  <c r="J93" i="5"/>
  <c r="J94" i="5" s="1"/>
  <c r="F93" i="5"/>
  <c r="F94" i="5" s="1"/>
  <c r="B12" i="5"/>
  <c r="B20" i="5"/>
  <c r="B28" i="5"/>
  <c r="B32" i="5"/>
  <c r="B36" i="5"/>
  <c r="B40" i="5"/>
  <c r="B44" i="5"/>
  <c r="B48" i="5"/>
  <c r="B53" i="5"/>
  <c r="G53" i="5" s="1"/>
  <c r="G54" i="5" s="1"/>
  <c r="B56" i="5"/>
  <c r="B64" i="5"/>
  <c r="B72" i="5"/>
  <c r="B76" i="5"/>
  <c r="B81" i="5"/>
  <c r="B88" i="5"/>
  <c r="B92" i="5"/>
  <c r="B96" i="5"/>
  <c r="B100" i="5"/>
  <c r="B16" i="5"/>
  <c r="B24" i="5"/>
  <c r="B60" i="5"/>
  <c r="B68" i="5"/>
  <c r="B84" i="5"/>
  <c r="F101" i="5"/>
  <c r="F102" i="5" s="1"/>
  <c r="H101" i="5"/>
  <c r="H102" i="5" s="1"/>
  <c r="J101" i="5"/>
  <c r="J102" i="5" s="1"/>
  <c r="N101" i="5"/>
  <c r="N102" i="5" s="1"/>
  <c r="I101" i="5"/>
  <c r="I102" i="5" s="1"/>
  <c r="K101" i="5"/>
  <c r="K102" i="5" s="1"/>
  <c r="F97" i="5"/>
  <c r="F98" i="5" s="1"/>
  <c r="H97" i="5"/>
  <c r="H98" i="5" s="1"/>
  <c r="J97" i="5"/>
  <c r="J98" i="5" s="1"/>
  <c r="N97" i="5"/>
  <c r="N98" i="5" s="1"/>
  <c r="I97" i="5"/>
  <c r="I98" i="5" s="1"/>
  <c r="K97" i="5"/>
  <c r="K98" i="5" s="1"/>
  <c r="I93" i="5"/>
  <c r="I94" i="5" s="1"/>
  <c r="K93" i="5"/>
  <c r="K94" i="5" s="1"/>
  <c r="D89" i="5"/>
  <c r="D90" i="5" s="1"/>
  <c r="F89" i="5"/>
  <c r="F90" i="5" s="1"/>
  <c r="H89" i="5"/>
  <c r="H90" i="5" s="1"/>
  <c r="J89" i="5"/>
  <c r="J90" i="5" s="1"/>
  <c r="N89" i="5"/>
  <c r="N90" i="5" s="1"/>
  <c r="E89" i="5"/>
  <c r="E90" i="5" s="1"/>
  <c r="G89" i="5"/>
  <c r="G90" i="5" s="1"/>
  <c r="I89" i="5"/>
  <c r="I90" i="5" s="1"/>
  <c r="I85" i="5"/>
  <c r="I86" i="5" s="1"/>
  <c r="D77" i="5"/>
  <c r="D78" i="5" s="1"/>
  <c r="F77" i="5"/>
  <c r="F78" i="5" s="1"/>
  <c r="H77" i="5"/>
  <c r="H78" i="5" s="1"/>
  <c r="J77" i="5"/>
  <c r="J78" i="5" s="1"/>
  <c r="L77" i="5"/>
  <c r="L78" i="5" s="1"/>
  <c r="N77" i="5"/>
  <c r="N78" i="5" s="1"/>
  <c r="P77" i="5"/>
  <c r="P78" i="5" s="1"/>
  <c r="R77" i="5"/>
  <c r="R78" i="5" s="1"/>
  <c r="T77" i="5"/>
  <c r="T78" i="5" s="1"/>
  <c r="E77" i="5"/>
  <c r="E78" i="5" s="1"/>
  <c r="G77" i="5"/>
  <c r="G78" i="5" s="1"/>
  <c r="I77" i="5"/>
  <c r="I78" i="5" s="1"/>
  <c r="K77" i="5"/>
  <c r="K78" i="5" s="1"/>
  <c r="M77" i="5"/>
  <c r="M78" i="5" s="1"/>
  <c r="O77" i="5"/>
  <c r="O78" i="5" s="1"/>
  <c r="Q77" i="5"/>
  <c r="Q78" i="5" s="1"/>
  <c r="S77" i="5"/>
  <c r="S78" i="5" s="1"/>
  <c r="D73" i="5"/>
  <c r="D74" i="5" s="1"/>
  <c r="F73" i="5"/>
  <c r="F74" i="5" s="1"/>
  <c r="H73" i="5"/>
  <c r="H74" i="5" s="1"/>
  <c r="J73" i="5"/>
  <c r="J74" i="5" s="1"/>
  <c r="N73" i="5"/>
  <c r="N74" i="5" s="1"/>
  <c r="R73" i="5"/>
  <c r="R74" i="5" s="1"/>
  <c r="T73" i="5"/>
  <c r="T74" i="5" s="1"/>
  <c r="E73" i="5"/>
  <c r="E74" i="5" s="1"/>
  <c r="G73" i="5"/>
  <c r="G74" i="5" s="1"/>
  <c r="I73" i="5"/>
  <c r="I74" i="5" s="1"/>
  <c r="M73" i="5"/>
  <c r="M74" i="5" s="1"/>
  <c r="O73" i="5"/>
  <c r="O74" i="5" s="1"/>
  <c r="Q73" i="5"/>
  <c r="Q74" i="5" s="1"/>
  <c r="S73" i="5"/>
  <c r="S74" i="5" s="1"/>
  <c r="D69" i="5"/>
  <c r="D70" i="5" s="1"/>
  <c r="F69" i="5"/>
  <c r="F70" i="5" s="1"/>
  <c r="H69" i="5"/>
  <c r="H70" i="5" s="1"/>
  <c r="J69" i="5"/>
  <c r="J70" i="5" s="1"/>
  <c r="L69" i="5"/>
  <c r="L70" i="5" s="1"/>
  <c r="N69" i="5"/>
  <c r="N70" i="5" s="1"/>
  <c r="P69" i="5"/>
  <c r="P70" i="5" s="1"/>
  <c r="R69" i="5"/>
  <c r="R70" i="5" s="1"/>
  <c r="T69" i="5"/>
  <c r="T70" i="5" s="1"/>
  <c r="E69" i="5"/>
  <c r="E70" i="5" s="1"/>
  <c r="G69" i="5"/>
  <c r="G70" i="5" s="1"/>
  <c r="I69" i="5"/>
  <c r="I70" i="5" s="1"/>
  <c r="K69" i="5"/>
  <c r="K70" i="5" s="1"/>
  <c r="M69" i="5"/>
  <c r="M70" i="5" s="1"/>
  <c r="O69" i="5"/>
  <c r="O70" i="5" s="1"/>
  <c r="Q69" i="5"/>
  <c r="Q70" i="5" s="1"/>
  <c r="S69" i="5"/>
  <c r="S70" i="5" s="1"/>
  <c r="D65" i="5"/>
  <c r="D66" i="5" s="1"/>
  <c r="F65" i="5"/>
  <c r="F66" i="5" s="1"/>
  <c r="H65" i="5"/>
  <c r="H66" i="5" s="1"/>
  <c r="J65" i="5"/>
  <c r="J66" i="5" s="1"/>
  <c r="L65" i="5"/>
  <c r="L66" i="5" s="1"/>
  <c r="N65" i="5"/>
  <c r="N66" i="5" s="1"/>
  <c r="P65" i="5"/>
  <c r="P66" i="5" s="1"/>
  <c r="R65" i="5"/>
  <c r="R66" i="5" s="1"/>
  <c r="T65" i="5"/>
  <c r="T66" i="5" s="1"/>
  <c r="E65" i="5"/>
  <c r="E66" i="5" s="1"/>
  <c r="G65" i="5"/>
  <c r="G66" i="5" s="1"/>
  <c r="I65" i="5"/>
  <c r="I66" i="5" s="1"/>
  <c r="K65" i="5"/>
  <c r="K66" i="5" s="1"/>
  <c r="M65" i="5"/>
  <c r="M66" i="5" s="1"/>
  <c r="O65" i="5"/>
  <c r="O66" i="5" s="1"/>
  <c r="Q65" i="5"/>
  <c r="Q66" i="5" s="1"/>
  <c r="S65" i="5"/>
  <c r="S66" i="5" s="1"/>
  <c r="D61" i="5"/>
  <c r="D62" i="5" s="1"/>
  <c r="F61" i="5"/>
  <c r="F62" i="5" s="1"/>
  <c r="H61" i="5"/>
  <c r="H62" i="5" s="1"/>
  <c r="J61" i="5"/>
  <c r="J62" i="5" s="1"/>
  <c r="L61" i="5"/>
  <c r="L62" i="5" s="1"/>
  <c r="N61" i="5"/>
  <c r="N62" i="5" s="1"/>
  <c r="P61" i="5"/>
  <c r="P62" i="5" s="1"/>
  <c r="R61" i="5"/>
  <c r="R62" i="5" s="1"/>
  <c r="T61" i="5"/>
  <c r="T62" i="5" s="1"/>
  <c r="E61" i="5"/>
  <c r="E62" i="5" s="1"/>
  <c r="G61" i="5"/>
  <c r="G62" i="5" s="1"/>
  <c r="I61" i="5"/>
  <c r="I62" i="5" s="1"/>
  <c r="K61" i="5"/>
  <c r="K62" i="5" s="1"/>
  <c r="M61" i="5"/>
  <c r="M62" i="5" s="1"/>
  <c r="O61" i="5"/>
  <c r="O62" i="5" s="1"/>
  <c r="Q61" i="5"/>
  <c r="Q62" i="5" s="1"/>
  <c r="S61" i="5"/>
  <c r="S62" i="5" s="1"/>
  <c r="D57" i="5"/>
  <c r="D58" i="5" s="1"/>
  <c r="F57" i="5"/>
  <c r="F58" i="5" s="1"/>
  <c r="H57" i="5"/>
  <c r="H58" i="5" s="1"/>
  <c r="J57" i="5"/>
  <c r="J58" i="5" s="1"/>
  <c r="L57" i="5"/>
  <c r="L58" i="5" s="1"/>
  <c r="N57" i="5"/>
  <c r="N58" i="5" s="1"/>
  <c r="P57" i="5"/>
  <c r="P58" i="5" s="1"/>
  <c r="R57" i="5"/>
  <c r="R58" i="5" s="1"/>
  <c r="T57" i="5"/>
  <c r="T58" i="5" s="1"/>
  <c r="E57" i="5"/>
  <c r="E58" i="5" s="1"/>
  <c r="G57" i="5"/>
  <c r="G58" i="5" s="1"/>
  <c r="I57" i="5"/>
  <c r="I58" i="5" s="1"/>
  <c r="K57" i="5"/>
  <c r="K58" i="5" s="1"/>
  <c r="M57" i="5"/>
  <c r="M58" i="5" s="1"/>
  <c r="O57" i="5"/>
  <c r="O58" i="5" s="1"/>
  <c r="Q57" i="5"/>
  <c r="Q58" i="5" s="1"/>
  <c r="S57" i="5"/>
  <c r="S58" i="5" s="1"/>
  <c r="E53" i="5"/>
  <c r="E54" i="5" s="1"/>
  <c r="E49" i="5"/>
  <c r="E50" i="5" s="1"/>
  <c r="G49" i="5"/>
  <c r="G50" i="5" s="1"/>
  <c r="I49" i="5"/>
  <c r="I50" i="5" s="1"/>
  <c r="K49" i="5"/>
  <c r="K50" i="5" s="1"/>
  <c r="M49" i="5"/>
  <c r="M50" i="5" s="1"/>
  <c r="O49" i="5"/>
  <c r="O50" i="5" s="1"/>
  <c r="Q49" i="5"/>
  <c r="Q50" i="5" s="1"/>
  <c r="S49" i="5"/>
  <c r="S50" i="5" s="1"/>
  <c r="D45" i="5"/>
  <c r="D46" i="5" s="1"/>
  <c r="F45" i="5"/>
  <c r="F46" i="5" s="1"/>
  <c r="H45" i="5"/>
  <c r="H46" i="5" s="1"/>
  <c r="J45" i="5"/>
  <c r="J46" i="5" s="1"/>
  <c r="L45" i="5"/>
  <c r="L46" i="5" s="1"/>
  <c r="N45" i="5"/>
  <c r="N46" i="5" s="1"/>
  <c r="P45" i="5"/>
  <c r="P46" i="5" s="1"/>
  <c r="R45" i="5"/>
  <c r="R46" i="5" s="1"/>
  <c r="T45" i="5"/>
  <c r="T46" i="5" s="1"/>
  <c r="E45" i="5"/>
  <c r="E46" i="5" s="1"/>
  <c r="G45" i="5"/>
  <c r="G46" i="5" s="1"/>
  <c r="I45" i="5"/>
  <c r="I46" i="5" s="1"/>
  <c r="K45" i="5"/>
  <c r="K46" i="5" s="1"/>
  <c r="M45" i="5"/>
  <c r="M46" i="5" s="1"/>
  <c r="O45" i="5"/>
  <c r="O46" i="5" s="1"/>
  <c r="Q45" i="5"/>
  <c r="Q46" i="5" s="1"/>
  <c r="S45" i="5"/>
  <c r="S46" i="5" s="1"/>
  <c r="D41" i="5"/>
  <c r="D42" i="5" s="1"/>
  <c r="F41" i="5"/>
  <c r="F42" i="5" s="1"/>
  <c r="J41" i="5"/>
  <c r="J42" i="5" s="1"/>
  <c r="L41" i="5"/>
  <c r="L42" i="5" s="1"/>
  <c r="N41" i="5"/>
  <c r="N42" i="5" s="1"/>
  <c r="P41" i="5"/>
  <c r="P42" i="5" s="1"/>
  <c r="T41" i="5"/>
  <c r="T42" i="5" s="1"/>
  <c r="E41" i="5"/>
  <c r="E42" i="5" s="1"/>
  <c r="G41" i="5"/>
  <c r="G42" i="5" s="1"/>
  <c r="K41" i="5"/>
  <c r="K42" i="5" s="1"/>
  <c r="O41" i="5"/>
  <c r="O42" i="5" s="1"/>
  <c r="E37" i="5"/>
  <c r="E38" i="5" s="1"/>
  <c r="G37" i="5"/>
  <c r="G38" i="5" s="1"/>
  <c r="I37" i="5"/>
  <c r="I38" i="5" s="1"/>
  <c r="K37" i="5"/>
  <c r="K38" i="5" s="1"/>
  <c r="O37" i="5"/>
  <c r="O38" i="5" s="1"/>
  <c r="E33" i="5"/>
  <c r="E34" i="5" s="1"/>
  <c r="G33" i="5"/>
  <c r="G34" i="5" s="1"/>
  <c r="I33" i="5"/>
  <c r="I34" i="5" s="1"/>
  <c r="K33" i="5"/>
  <c r="K34" i="5" s="1"/>
  <c r="O33" i="5"/>
  <c r="O34" i="5" s="1"/>
  <c r="E29" i="5"/>
  <c r="E30" i="5" s="1"/>
  <c r="G29" i="5"/>
  <c r="G30" i="5" s="1"/>
  <c r="I29" i="5"/>
  <c r="I30" i="5" s="1"/>
  <c r="K29" i="5"/>
  <c r="K30" i="5" s="1"/>
  <c r="O29" i="5"/>
  <c r="O30" i="5" s="1"/>
  <c r="D25" i="5"/>
  <c r="D26" i="5" s="1"/>
  <c r="F25" i="5"/>
  <c r="F26" i="5" s="1"/>
  <c r="J25" i="5"/>
  <c r="J26" i="5" s="1"/>
  <c r="L25" i="5"/>
  <c r="L26" i="5" s="1"/>
  <c r="N25" i="5"/>
  <c r="N26" i="5" s="1"/>
  <c r="P25" i="5"/>
  <c r="P26" i="5" s="1"/>
  <c r="T25" i="5"/>
  <c r="T26" i="5" s="1"/>
  <c r="E25" i="5"/>
  <c r="E26" i="5" s="1"/>
  <c r="G25" i="5"/>
  <c r="G26" i="5" s="1"/>
  <c r="I25" i="5"/>
  <c r="I26" i="5" s="1"/>
  <c r="K25" i="5"/>
  <c r="K26" i="5" s="1"/>
  <c r="O25" i="5"/>
  <c r="O26" i="5" s="1"/>
  <c r="D21" i="5"/>
  <c r="D22" i="5" s="1"/>
  <c r="F21" i="5"/>
  <c r="F22" i="5" s="1"/>
  <c r="J21" i="5"/>
  <c r="J22" i="5" s="1"/>
  <c r="L21" i="5"/>
  <c r="L22" i="5" s="1"/>
  <c r="N21" i="5"/>
  <c r="N22" i="5" s="1"/>
  <c r="P21" i="5"/>
  <c r="P22" i="5" s="1"/>
  <c r="T21" i="5"/>
  <c r="T22" i="5" s="1"/>
  <c r="E21" i="5"/>
  <c r="E22" i="5" s="1"/>
  <c r="G21" i="5"/>
  <c r="G22" i="5" s="1"/>
  <c r="I21" i="5"/>
  <c r="I22" i="5" s="1"/>
  <c r="K21" i="5"/>
  <c r="K22" i="5" s="1"/>
  <c r="O21" i="5"/>
  <c r="O22" i="5" s="1"/>
  <c r="D17" i="5"/>
  <c r="D18" i="5" s="1"/>
  <c r="F17" i="5"/>
  <c r="F18" i="5" s="1"/>
  <c r="J17" i="5"/>
  <c r="J18" i="5" s="1"/>
  <c r="L17" i="5"/>
  <c r="L18" i="5" s="1"/>
  <c r="N17" i="5"/>
  <c r="N18" i="5" s="1"/>
  <c r="P17" i="5"/>
  <c r="P18" i="5" s="1"/>
  <c r="T17" i="5"/>
  <c r="T18" i="5" s="1"/>
  <c r="E17" i="5"/>
  <c r="E18" i="5" s="1"/>
  <c r="G17" i="5"/>
  <c r="G18" i="5" s="1"/>
  <c r="I17" i="5"/>
  <c r="I18" i="5" s="1"/>
  <c r="K17" i="5"/>
  <c r="K18" i="5" s="1"/>
  <c r="O17" i="5"/>
  <c r="O18" i="5" s="1"/>
  <c r="D13" i="5"/>
  <c r="D14" i="5" s="1"/>
  <c r="F13" i="5"/>
  <c r="F14" i="5" s="1"/>
  <c r="J13" i="5"/>
  <c r="J14" i="5" s="1"/>
  <c r="L13" i="5"/>
  <c r="L14" i="5" s="1"/>
  <c r="N13" i="5"/>
  <c r="N14" i="5" s="1"/>
  <c r="P13" i="5"/>
  <c r="P14" i="5" s="1"/>
  <c r="T13" i="5"/>
  <c r="T14" i="5" s="1"/>
  <c r="E13" i="5"/>
  <c r="E14" i="5" s="1"/>
  <c r="G13" i="5"/>
  <c r="G14" i="5" s="1"/>
  <c r="I13" i="5"/>
  <c r="I14" i="5" s="1"/>
  <c r="K13" i="5"/>
  <c r="K14" i="5" s="1"/>
  <c r="O13" i="5"/>
  <c r="O14" i="5" s="1"/>
  <c r="E9" i="5"/>
  <c r="E10" i="5" s="1"/>
  <c r="G9" i="5"/>
  <c r="G10" i="5" s="1"/>
  <c r="J9" i="5"/>
  <c r="J10" i="5" s="1"/>
  <c r="L9" i="5"/>
  <c r="L10" i="5" s="1"/>
  <c r="O9" i="5"/>
  <c r="T9" i="5"/>
  <c r="T10" i="5" s="1"/>
  <c r="D9" i="5"/>
  <c r="F9" i="5"/>
  <c r="F10" i="5" s="1"/>
  <c r="I9" i="5"/>
  <c r="I10" i="5" s="1"/>
  <c r="K9" i="5"/>
  <c r="K10" i="5" s="1"/>
  <c r="N9" i="5"/>
  <c r="N10" i="5" s="1"/>
  <c r="P9" i="5"/>
  <c r="P10" i="5" s="1"/>
  <c r="O10" i="5"/>
  <c r="U10" i="5"/>
  <c r="D10" i="5"/>
  <c r="B8" i="5"/>
  <c r="B39" i="2"/>
  <c r="C39" i="2" s="1"/>
  <c r="C36" i="2" s="1"/>
  <c r="S53" i="5" l="1"/>
  <c r="S54" i="5" s="1"/>
  <c r="M53" i="5"/>
  <c r="M54" i="5" s="1"/>
  <c r="K53" i="5"/>
  <c r="K54" i="5" s="1"/>
  <c r="Q53" i="5"/>
  <c r="Q54" i="5" s="1"/>
  <c r="I53" i="5"/>
  <c r="I54" i="5" s="1"/>
  <c r="O53" i="5"/>
  <c r="O54" i="5" s="1"/>
  <c r="J81" i="5"/>
  <c r="J82" i="5" s="1"/>
  <c r="F81" i="5"/>
  <c r="F82" i="5" s="1"/>
  <c r="N81" i="5"/>
  <c r="N82" i="5" s="1"/>
  <c r="H81" i="5"/>
  <c r="H82" i="5" s="1"/>
  <c r="U53" i="5"/>
  <c r="U54" i="5" s="1"/>
  <c r="T53" i="5"/>
  <c r="T54" i="5" s="1"/>
  <c r="P53" i="5"/>
  <c r="P54" i="5" s="1"/>
  <c r="L53" i="5"/>
  <c r="L54" i="5" s="1"/>
  <c r="H53" i="5"/>
  <c r="H54" i="5" s="1"/>
  <c r="D53" i="5"/>
  <c r="D54" i="5" s="1"/>
  <c r="R53" i="5"/>
  <c r="R54" i="5" s="1"/>
  <c r="N53" i="5"/>
  <c r="N54" i="5" s="1"/>
  <c r="J53" i="5"/>
  <c r="J54" i="5" s="1"/>
  <c r="F53" i="5"/>
  <c r="F54" i="5" s="1"/>
  <c r="I36" i="2"/>
  <c r="Q12" i="4" s="1"/>
  <c r="L27" i="4" l="1"/>
  <c r="Q8" i="4"/>
  <c r="Q7" i="4"/>
  <c r="L15" i="4" l="1"/>
  <c r="Q9" i="4"/>
  <c r="Q10" i="4" s="1"/>
  <c r="L6" i="4" l="1"/>
  <c r="Q13" i="4" s="1"/>
  <c r="Q14" i="4" s="1"/>
  <c r="L7" i="4" l="1"/>
</calcChain>
</file>

<file path=xl/sharedStrings.xml><?xml version="1.0" encoding="utf-8"?>
<sst xmlns="http://schemas.openxmlformats.org/spreadsheetml/2006/main" count="209" uniqueCount="85">
  <si>
    <t>mm</t>
  </si>
  <si>
    <t>Elastic Modulus</t>
  </si>
  <si>
    <t>TEMPERATURE</t>
  </si>
  <si>
    <t>EXP</t>
  </si>
  <si>
    <t>C</t>
  </si>
  <si>
    <t>mm./mm./C</t>
  </si>
  <si>
    <t>Schedule</t>
  </si>
  <si>
    <t>Material</t>
  </si>
  <si>
    <t>STANDARD PIPE WALL THICKNESS AS PER ASME B36.10M &amp; B36.19M</t>
  </si>
  <si>
    <t>(SCHEDULED THICKNESSES)</t>
  </si>
  <si>
    <t>SCHEDULE NO</t>
  </si>
  <si>
    <t>NPS</t>
  </si>
  <si>
    <t>OD</t>
  </si>
  <si>
    <t>5S</t>
  </si>
  <si>
    <t>10S</t>
  </si>
  <si>
    <t>STD</t>
  </si>
  <si>
    <t>40S</t>
  </si>
  <si>
    <t>XS</t>
  </si>
  <si>
    <t>80S</t>
  </si>
  <si>
    <t>XXS</t>
  </si>
  <si>
    <t>Pipe OD</t>
  </si>
  <si>
    <t>Pipe ID</t>
  </si>
  <si>
    <t>SCH5</t>
  </si>
  <si>
    <t>SCH10</t>
  </si>
  <si>
    <t>SCH20</t>
  </si>
  <si>
    <t>SCH30</t>
  </si>
  <si>
    <t>SCH40</t>
  </si>
  <si>
    <t>SCH60</t>
  </si>
  <si>
    <t>SCH80</t>
  </si>
  <si>
    <t>SCH100</t>
  </si>
  <si>
    <t>SCH120</t>
  </si>
  <si>
    <t>SCH140</t>
  </si>
  <si>
    <t>SCH160</t>
  </si>
  <si>
    <t>Moment</t>
  </si>
  <si>
    <t>N/mm2</t>
  </si>
  <si>
    <t>Deg C</t>
  </si>
  <si>
    <t xml:space="preserve">Design Temperature </t>
  </si>
  <si>
    <t>A</t>
  </si>
  <si>
    <t>Ambient Temp ( 21 Deg C is default)</t>
  </si>
  <si>
    <t>Default Settings</t>
  </si>
  <si>
    <t xml:space="preserve">Guide Gap if any </t>
  </si>
  <si>
    <t>inch</t>
  </si>
  <si>
    <r>
      <t>mm</t>
    </r>
    <r>
      <rPr>
        <b/>
        <vertAlign val="superscript"/>
        <sz val="12"/>
        <color theme="1"/>
        <rFont val="Arial"/>
        <family val="2"/>
      </rPr>
      <t>4</t>
    </r>
  </si>
  <si>
    <r>
      <t>N/mm</t>
    </r>
    <r>
      <rPr>
        <b/>
        <vertAlign val="superscript"/>
        <sz val="12"/>
        <color theme="1"/>
        <rFont val="Arial"/>
        <family val="2"/>
      </rPr>
      <t>2</t>
    </r>
  </si>
  <si>
    <t>Select 5 Input data</t>
  </si>
  <si>
    <t>1. Doesnot include stress intensification factors</t>
  </si>
  <si>
    <t>Other Output data for reference</t>
  </si>
  <si>
    <t>Thermal exp. coefficient</t>
  </si>
  <si>
    <t>N-mm</t>
  </si>
  <si>
    <t>kN</t>
  </si>
  <si>
    <t>Assumptions:</t>
  </si>
  <si>
    <t>2. Uses guided Cantilever method</t>
  </si>
  <si>
    <r>
      <t xml:space="preserve">Thermal movement, </t>
    </r>
    <r>
      <rPr>
        <sz val="12"/>
        <color theme="1"/>
        <rFont val="Symbol"/>
        <family val="1"/>
        <charset val="2"/>
      </rPr>
      <t xml:space="preserve">D </t>
    </r>
  </si>
  <si>
    <t>Bending Leg required, L</t>
  </si>
  <si>
    <t>Force at guide, F</t>
  </si>
  <si>
    <t xml:space="preserve">Length from anchor/ Limit stop to free end </t>
  </si>
  <si>
    <r>
      <rPr>
        <b/>
        <vertAlign val="superscript"/>
        <sz val="12"/>
        <color theme="1"/>
        <rFont val="Arial"/>
        <family val="2"/>
      </rPr>
      <t>O</t>
    </r>
    <r>
      <rPr>
        <b/>
        <sz val="12"/>
        <color theme="1"/>
        <rFont val="Arial"/>
        <family val="2"/>
      </rPr>
      <t>C</t>
    </r>
  </si>
  <si>
    <t>Nominal Pipe Size</t>
  </si>
  <si>
    <t>kgf</t>
  </si>
  <si>
    <t xml:space="preserve"> Input Section ( provide Input in yellow cells only )</t>
  </si>
  <si>
    <t>Output Section (Output in green colour )</t>
  </si>
  <si>
    <t>A106 GRB</t>
  </si>
  <si>
    <t>MODULUS</t>
  </si>
  <si>
    <t>KPa</t>
  </si>
  <si>
    <t>ALLOWABLE</t>
  </si>
  <si>
    <t>YIELD</t>
  </si>
  <si>
    <t>COLD MODULUS</t>
  </si>
  <si>
    <t>User Value</t>
  </si>
  <si>
    <t>A312 TP304</t>
  </si>
  <si>
    <t>Ambient</t>
  </si>
  <si>
    <t>r mean</t>
  </si>
  <si>
    <t>h ( for long radius bend)</t>
  </si>
  <si>
    <t>1.5d</t>
  </si>
  <si>
    <t>SIF Inplane</t>
  </si>
  <si>
    <t>3. Suitable only for non critical Lines &lt; = 6"NPS and wall thickness       
    greater than 10S</t>
  </si>
  <si>
    <t>E</t>
  </si>
  <si>
    <t>Induced Stress( Unitensified)</t>
  </si>
  <si>
    <t>Hot allowable stress, Sh</t>
  </si>
  <si>
    <t>Cold allowable stress, Sc</t>
  </si>
  <si>
    <t>Expansion stress allowable
( 1.25 Sc + 0.25 Sh)</t>
  </si>
  <si>
    <t>Pipe wall thickness</t>
  </si>
  <si>
    <t>Area moment of Inertia</t>
  </si>
  <si>
    <t>L</t>
  </si>
  <si>
    <t>CS</t>
  </si>
  <si>
    <t>unitless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</si>
</sst>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E+00"/>
    <numFmt numFmtId="165" formatCode="0.0"/>
    <numFmt numFmtId="166" formatCode="00000"/>
    <numFmt numFmtId="167" formatCode="0.000"/>
  </numFmts>
  <fonts count="17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i/>
      <sz val="8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 Black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8"/>
      <color theme="1"/>
      <name val="Arial"/>
      <family val="2"/>
    </font>
    <font>
      <sz val="14"/>
      <color theme="0"/>
      <name val="Arial"/>
      <family val="2"/>
    </font>
    <font>
      <b/>
      <vertAlign val="superscript"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Symbol"/>
      <family val="1"/>
      <charset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30">
    <xf numFmtId="0" fontId="0" fillId="0" borderId="0" xfId="0"/>
    <xf numFmtId="0" fontId="0" fillId="0" borderId="0" xfId="0" applyAlignment="1">
      <alignment horizontal="left" vertical="top"/>
    </xf>
    <xf numFmtId="0" fontId="0" fillId="0" borderId="2" xfId="0" applyBorder="1" applyProtection="1"/>
    <xf numFmtId="0" fontId="0" fillId="0" borderId="2" xfId="0" applyBorder="1" applyAlignment="1" applyProtection="1">
      <alignment horizontal="right"/>
    </xf>
    <xf numFmtId="0" fontId="0" fillId="0" borderId="0" xfId="0" applyProtection="1"/>
    <xf numFmtId="0" fontId="0" fillId="0" borderId="0" xfId="0" applyAlignment="1" applyProtection="1">
      <alignment horizontal="right"/>
    </xf>
    <xf numFmtId="0" fontId="3" fillId="0" borderId="0" xfId="1" applyFont="1" applyProtection="1"/>
    <xf numFmtId="12" fontId="5" fillId="0" borderId="6" xfId="1" applyNumberFormat="1" applyFont="1" applyBorder="1" applyAlignment="1" applyProtection="1">
      <alignment horizontal="center"/>
    </xf>
    <xf numFmtId="0" fontId="5" fillId="0" borderId="7" xfId="1" applyFont="1" applyBorder="1" applyAlignment="1" applyProtection="1">
      <alignment horizontal="center"/>
    </xf>
    <xf numFmtId="0" fontId="5" fillId="0" borderId="8" xfId="1" applyFont="1" applyBorder="1" applyAlignment="1" applyProtection="1">
      <alignment horizontal="right"/>
    </xf>
    <xf numFmtId="0" fontId="5" fillId="0" borderId="9" xfId="1" applyFont="1" applyBorder="1" applyAlignment="1" applyProtection="1">
      <alignment horizontal="center"/>
    </xf>
    <xf numFmtId="0" fontId="6" fillId="0" borderId="10" xfId="1" applyFont="1" applyBorder="1" applyAlignment="1" applyProtection="1">
      <alignment horizontal="center"/>
    </xf>
    <xf numFmtId="0" fontId="6" fillId="0" borderId="11" xfId="1" applyFont="1" applyBorder="1" applyAlignment="1" applyProtection="1">
      <alignment horizontal="center"/>
    </xf>
    <xf numFmtId="12" fontId="2" fillId="0" borderId="12" xfId="1" quotePrefix="1" applyNumberFormat="1" applyFont="1" applyBorder="1" applyAlignment="1" applyProtection="1">
      <alignment horizontal="right"/>
    </xf>
    <xf numFmtId="0" fontId="2" fillId="0" borderId="13" xfId="1" applyFont="1" applyBorder="1" applyProtection="1"/>
    <xf numFmtId="0" fontId="2" fillId="0" borderId="14" xfId="1" applyFont="1" applyBorder="1" applyAlignment="1" applyProtection="1">
      <alignment horizontal="right"/>
    </xf>
    <xf numFmtId="0" fontId="2" fillId="0" borderId="15" xfId="1" applyFont="1" applyBorder="1" applyProtection="1"/>
    <xf numFmtId="0" fontId="2" fillId="0" borderId="16" xfId="1" applyFont="1" applyBorder="1" applyProtection="1"/>
    <xf numFmtId="0" fontId="2" fillId="4" borderId="16" xfId="1" applyFont="1" applyFill="1" applyBorder="1" applyAlignment="1" applyProtection="1">
      <alignment horizontal="center"/>
    </xf>
    <xf numFmtId="0" fontId="2" fillId="0" borderId="16" xfId="1" applyFont="1" applyFill="1" applyBorder="1" applyProtection="1"/>
    <xf numFmtId="0" fontId="2" fillId="4" borderId="1" xfId="1" applyFont="1" applyFill="1" applyBorder="1" applyAlignment="1" applyProtection="1">
      <alignment horizontal="center"/>
    </xf>
    <xf numFmtId="0" fontId="2" fillId="0" borderId="17" xfId="1" applyFont="1" applyBorder="1" applyProtection="1"/>
    <xf numFmtId="12" fontId="2" fillId="0" borderId="18" xfId="1" quotePrefix="1" applyNumberFormat="1" applyFont="1" applyBorder="1" applyAlignment="1" applyProtection="1">
      <alignment horizontal="right"/>
    </xf>
    <xf numFmtId="0" fontId="2" fillId="0" borderId="19" xfId="1" applyFont="1" applyBorder="1" applyProtection="1"/>
    <xf numFmtId="0" fontId="2" fillId="0" borderId="20" xfId="1" applyFont="1" applyBorder="1" applyAlignment="1" applyProtection="1">
      <alignment horizontal="right"/>
    </xf>
    <xf numFmtId="0" fontId="2" fillId="0" borderId="21" xfId="1" applyFont="1" applyBorder="1" applyProtection="1"/>
    <xf numFmtId="0" fontId="2" fillId="0" borderId="1" xfId="1" applyFont="1" applyBorder="1" applyProtection="1"/>
    <xf numFmtId="0" fontId="2" fillId="0" borderId="1" xfId="1" applyFont="1" applyFill="1" applyBorder="1" applyProtection="1"/>
    <xf numFmtId="0" fontId="2" fillId="0" borderId="22" xfId="1" applyFont="1" applyBorder="1" applyProtection="1"/>
    <xf numFmtId="2" fontId="2" fillId="0" borderId="1" xfId="1" applyNumberFormat="1" applyFont="1" applyFill="1" applyBorder="1" applyProtection="1"/>
    <xf numFmtId="12" fontId="2" fillId="0" borderId="18" xfId="1" applyNumberFormat="1" applyFont="1" applyBorder="1" applyAlignment="1" applyProtection="1">
      <alignment horizontal="right"/>
    </xf>
    <xf numFmtId="2" fontId="2" fillId="0" borderId="1" xfId="1" applyNumberFormat="1" applyFont="1" applyBorder="1" applyProtection="1"/>
    <xf numFmtId="2" fontId="2" fillId="0" borderId="20" xfId="1" applyNumberFormat="1" applyFont="1" applyBorder="1" applyAlignment="1" applyProtection="1">
      <alignment horizontal="right"/>
    </xf>
    <xf numFmtId="2" fontId="2" fillId="0" borderId="21" xfId="1" applyNumberFormat="1" applyFont="1" applyBorder="1" applyProtection="1"/>
    <xf numFmtId="2" fontId="2" fillId="0" borderId="22" xfId="1" applyNumberFormat="1" applyFont="1" applyBorder="1" applyProtection="1"/>
    <xf numFmtId="0" fontId="2" fillId="4" borderId="22" xfId="1" applyFont="1" applyFill="1" applyBorder="1" applyAlignment="1" applyProtection="1">
      <alignment horizontal="center"/>
    </xf>
    <xf numFmtId="12" fontId="2" fillId="0" borderId="23" xfId="1" applyNumberFormat="1" applyFont="1" applyBorder="1" applyAlignment="1" applyProtection="1">
      <alignment horizontal="right"/>
    </xf>
    <xf numFmtId="0" fontId="2" fillId="0" borderId="24" xfId="1" applyFont="1" applyBorder="1" applyProtection="1"/>
    <xf numFmtId="12" fontId="2" fillId="0" borderId="25" xfId="1" applyNumberFormat="1" applyFont="1" applyBorder="1" applyAlignment="1" applyProtection="1">
      <alignment horizontal="right"/>
    </xf>
    <xf numFmtId="0" fontId="2" fillId="0" borderId="26" xfId="1" applyFont="1" applyBorder="1" applyProtection="1"/>
    <xf numFmtId="0" fontId="2" fillId="4" borderId="27" xfId="1" applyFont="1" applyFill="1" applyBorder="1" applyAlignment="1" applyProtection="1">
      <alignment horizontal="center"/>
    </xf>
    <xf numFmtId="0" fontId="2" fillId="4" borderId="28" xfId="1" applyFont="1" applyFill="1" applyBorder="1" applyAlignment="1" applyProtection="1">
      <alignment horizontal="center"/>
    </xf>
    <xf numFmtId="0" fontId="2" fillId="4" borderId="29" xfId="1" applyFont="1" applyFill="1" applyBorder="1" applyAlignment="1" applyProtection="1">
      <alignment horizontal="center"/>
    </xf>
    <xf numFmtId="0" fontId="0" fillId="6" borderId="0" xfId="0" applyFill="1" applyProtection="1">
      <protection locked="0"/>
    </xf>
    <xf numFmtId="0" fontId="0" fillId="6" borderId="0" xfId="0" applyFill="1" applyAlignment="1" applyProtection="1">
      <alignment horizontal="left" vertical="top"/>
      <protection locked="0"/>
    </xf>
    <xf numFmtId="0" fontId="0" fillId="6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Protection="1">
      <protection locked="0"/>
    </xf>
    <xf numFmtId="0" fontId="0" fillId="5" borderId="0" xfId="0" applyFill="1" applyProtection="1">
      <protection locked="0"/>
    </xf>
    <xf numFmtId="0" fontId="0" fillId="5" borderId="0" xfId="0" applyFill="1" applyAlignment="1" applyProtection="1">
      <alignment horizontal="left" vertical="top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0" fontId="8" fillId="5" borderId="0" xfId="0" applyFont="1" applyFill="1" applyAlignment="1" applyProtection="1">
      <alignment horizontal="left" vertical="top"/>
      <protection locked="0"/>
    </xf>
    <xf numFmtId="0" fontId="9" fillId="5" borderId="0" xfId="0" applyFont="1" applyFill="1" applyAlignment="1" applyProtection="1">
      <alignment horizontal="left" vertical="top"/>
      <protection locked="0"/>
    </xf>
    <xf numFmtId="1" fontId="0" fillId="5" borderId="0" xfId="0" applyNumberFormat="1" applyFill="1" applyAlignment="1" applyProtection="1">
      <alignment horizontal="left" vertical="top"/>
      <protection locked="0"/>
    </xf>
    <xf numFmtId="0" fontId="0" fillId="5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5" borderId="32" xfId="0" applyFill="1" applyBorder="1" applyAlignment="1" applyProtection="1">
      <alignment horizontal="left" vertical="top"/>
      <protection hidden="1"/>
    </xf>
    <xf numFmtId="0" fontId="10" fillId="5" borderId="33" xfId="0" applyFont="1" applyFill="1" applyBorder="1" applyAlignment="1" applyProtection="1">
      <alignment horizontal="left" vertical="top"/>
      <protection hidden="1"/>
    </xf>
    <xf numFmtId="0" fontId="7" fillId="5" borderId="33" xfId="0" applyFont="1" applyFill="1" applyBorder="1" applyAlignment="1" applyProtection="1">
      <alignment horizontal="center" vertical="center"/>
      <protection hidden="1"/>
    </xf>
    <xf numFmtId="0" fontId="8" fillId="5" borderId="33" xfId="0" applyFont="1" applyFill="1" applyBorder="1" applyAlignment="1" applyProtection="1">
      <alignment horizontal="left" vertical="top"/>
      <protection hidden="1"/>
    </xf>
    <xf numFmtId="0" fontId="0" fillId="0" borderId="33" xfId="0" applyBorder="1" applyAlignment="1" applyProtection="1">
      <alignment horizontal="left" vertical="top"/>
      <protection hidden="1"/>
    </xf>
    <xf numFmtId="0" fontId="11" fillId="5" borderId="33" xfId="0" applyFont="1" applyFill="1" applyBorder="1" applyAlignment="1" applyProtection="1">
      <alignment horizontal="left" vertical="top"/>
      <protection hidden="1"/>
    </xf>
    <xf numFmtId="0" fontId="8" fillId="5" borderId="30" xfId="0" applyFont="1" applyFill="1" applyBorder="1" applyAlignment="1" applyProtection="1">
      <alignment horizontal="left" vertical="top"/>
      <protection hidden="1"/>
    </xf>
    <xf numFmtId="0" fontId="0" fillId="5" borderId="34" xfId="0" applyFill="1" applyBorder="1" applyAlignment="1" applyProtection="1">
      <alignment horizontal="left" vertical="top"/>
      <protection hidden="1"/>
    </xf>
    <xf numFmtId="0" fontId="7" fillId="5" borderId="0" xfId="0" applyFont="1" applyFill="1" applyBorder="1" applyAlignment="1" applyProtection="1">
      <alignment horizontal="center" vertical="center"/>
      <protection hidden="1"/>
    </xf>
    <xf numFmtId="0" fontId="8" fillId="5" borderId="0" xfId="0" applyFont="1" applyFill="1" applyBorder="1" applyAlignment="1" applyProtection="1">
      <alignment horizontal="left" vertical="top"/>
      <protection hidden="1"/>
    </xf>
    <xf numFmtId="0" fontId="11" fillId="5" borderId="0" xfId="0" applyFont="1" applyFill="1" applyBorder="1" applyAlignment="1" applyProtection="1">
      <alignment horizontal="left" vertical="top"/>
      <protection hidden="1"/>
    </xf>
    <xf numFmtId="0" fontId="8" fillId="5" borderId="31" xfId="0" applyFont="1" applyFill="1" applyBorder="1" applyAlignment="1" applyProtection="1">
      <alignment horizontal="left" vertical="top"/>
      <protection hidden="1"/>
    </xf>
    <xf numFmtId="0" fontId="11" fillId="5" borderId="0" xfId="0" applyFont="1" applyFill="1" applyBorder="1" applyAlignment="1" applyProtection="1">
      <alignment horizontal="left" vertical="top" wrapText="1"/>
      <protection hidden="1"/>
    </xf>
    <xf numFmtId="0" fontId="11" fillId="5" borderId="0" xfId="0" applyFont="1" applyFill="1" applyBorder="1" applyAlignment="1" applyProtection="1">
      <alignment horizontal="center" vertical="center"/>
      <protection hidden="1"/>
    </xf>
    <xf numFmtId="0" fontId="11" fillId="5" borderId="0" xfId="0" applyFont="1" applyFill="1" applyBorder="1" applyAlignment="1" applyProtection="1">
      <alignment vertical="center"/>
      <protection hidden="1"/>
    </xf>
    <xf numFmtId="0" fontId="0" fillId="5" borderId="0" xfId="0" applyFill="1" applyBorder="1" applyAlignment="1" applyProtection="1">
      <alignment horizontal="left" vertical="top"/>
      <protection hidden="1"/>
    </xf>
    <xf numFmtId="0" fontId="11" fillId="5" borderId="1" xfId="0" applyFont="1" applyFill="1" applyBorder="1" applyAlignment="1" applyProtection="1">
      <alignment horizontal="left" vertical="top"/>
      <protection hidden="1"/>
    </xf>
    <xf numFmtId="0" fontId="11" fillId="5" borderId="1" xfId="0" applyFont="1" applyFill="1" applyBorder="1" applyAlignment="1" applyProtection="1">
      <alignment horizontal="center" vertical="center"/>
      <protection hidden="1"/>
    </xf>
    <xf numFmtId="165" fontId="11" fillId="3" borderId="1" xfId="0" applyNumberFormat="1" applyFont="1" applyFill="1" applyBorder="1" applyAlignment="1" applyProtection="1">
      <alignment horizontal="left" vertical="top"/>
      <protection hidden="1"/>
    </xf>
    <xf numFmtId="166" fontId="11" fillId="5" borderId="1" xfId="0" quotePrefix="1" applyNumberFormat="1" applyFont="1" applyFill="1" applyBorder="1" applyAlignment="1" applyProtection="1">
      <alignment horizontal="left" vertical="top"/>
      <protection hidden="1"/>
    </xf>
    <xf numFmtId="1" fontId="11" fillId="3" borderId="1" xfId="0" applyNumberFormat="1" applyFont="1" applyFill="1" applyBorder="1" applyAlignment="1" applyProtection="1">
      <alignment horizontal="left" vertical="top"/>
      <protection hidden="1"/>
    </xf>
    <xf numFmtId="0" fontId="11" fillId="3" borderId="1" xfId="0" applyFont="1" applyFill="1" applyBorder="1" applyAlignment="1" applyProtection="1">
      <alignment horizontal="left" vertical="top"/>
      <protection hidden="1"/>
    </xf>
    <xf numFmtId="0" fontId="11" fillId="5" borderId="22" xfId="0" applyFont="1" applyFill="1" applyBorder="1" applyAlignment="1" applyProtection="1">
      <alignment horizontal="left" vertical="top"/>
      <protection hidden="1"/>
    </xf>
    <xf numFmtId="0" fontId="0" fillId="0" borderId="0" xfId="0" applyBorder="1" applyAlignment="1" applyProtection="1">
      <alignment horizontal="left" vertical="top"/>
      <protection hidden="1"/>
    </xf>
    <xf numFmtId="0" fontId="13" fillId="5" borderId="0" xfId="0" applyFont="1" applyFill="1" applyBorder="1" applyAlignment="1" applyProtection="1">
      <alignment horizontal="center" vertical="center"/>
      <protection hidden="1"/>
    </xf>
    <xf numFmtId="0" fontId="0" fillId="5" borderId="0" xfId="0" applyFill="1" applyBorder="1" applyAlignment="1" applyProtection="1">
      <alignment horizontal="center" vertical="center"/>
      <protection hidden="1"/>
    </xf>
    <xf numFmtId="0" fontId="11" fillId="5" borderId="0" xfId="0" applyFont="1" applyFill="1" applyBorder="1" applyAlignment="1" applyProtection="1">
      <alignment horizontal="right"/>
      <protection hidden="1"/>
    </xf>
    <xf numFmtId="0" fontId="8" fillId="5" borderId="0" xfId="0" applyFont="1" applyFill="1" applyBorder="1" applyAlignment="1" applyProtection="1">
      <alignment horizontal="center" vertical="center"/>
      <protection hidden="1"/>
    </xf>
    <xf numFmtId="0" fontId="7" fillId="5" borderId="0" xfId="0" applyFont="1" applyFill="1" applyBorder="1" applyAlignment="1" applyProtection="1">
      <alignment horizontal="left" vertical="top"/>
      <protection hidden="1"/>
    </xf>
    <xf numFmtId="0" fontId="11" fillId="5" borderId="0" xfId="0" applyFont="1" applyFill="1" applyBorder="1" applyAlignment="1" applyProtection="1">
      <alignment vertical="top"/>
      <protection hidden="1"/>
    </xf>
    <xf numFmtId="0" fontId="12" fillId="5" borderId="0" xfId="0" applyFont="1" applyFill="1" applyBorder="1" applyAlignment="1" applyProtection="1">
      <alignment horizontal="center" vertical="center"/>
      <protection hidden="1"/>
    </xf>
    <xf numFmtId="0" fontId="15" fillId="5" borderId="0" xfId="0" applyFont="1" applyFill="1" applyBorder="1" applyAlignment="1" applyProtection="1">
      <alignment horizontal="left" vertical="top"/>
      <protection hidden="1"/>
    </xf>
    <xf numFmtId="2" fontId="11" fillId="3" borderId="1" xfId="0" applyNumberFormat="1" applyFont="1" applyFill="1" applyBorder="1" applyAlignment="1" applyProtection="1">
      <alignment horizontal="left" vertical="top"/>
      <protection hidden="1"/>
    </xf>
    <xf numFmtId="0" fontId="0" fillId="0" borderId="0" xfId="0" applyBorder="1" applyAlignment="1" applyProtection="1">
      <alignment horizontal="center" vertical="center"/>
      <protection hidden="1"/>
    </xf>
    <xf numFmtId="0" fontId="0" fillId="5" borderId="31" xfId="0" applyFill="1" applyBorder="1" applyAlignment="1" applyProtection="1">
      <alignment horizontal="left" vertical="top"/>
      <protection hidden="1"/>
    </xf>
    <xf numFmtId="0" fontId="0" fillId="5" borderId="35" xfId="0" applyFill="1" applyBorder="1" applyAlignment="1" applyProtection="1">
      <alignment horizontal="left" vertical="top"/>
      <protection hidden="1"/>
    </xf>
    <xf numFmtId="0" fontId="0" fillId="5" borderId="36" xfId="0" applyFill="1" applyBorder="1" applyAlignment="1" applyProtection="1">
      <alignment horizontal="center" vertical="center"/>
      <protection hidden="1"/>
    </xf>
    <xf numFmtId="0" fontId="0" fillId="5" borderId="37" xfId="0" applyFill="1" applyBorder="1" applyAlignment="1" applyProtection="1">
      <alignment horizontal="left" vertical="top"/>
      <protection hidden="1"/>
    </xf>
    <xf numFmtId="0" fontId="11" fillId="2" borderId="1" xfId="0" applyFont="1" applyFill="1" applyBorder="1" applyAlignment="1" applyProtection="1">
      <alignment horizontal="center" vertical="center"/>
      <protection locked="0" hidden="1"/>
    </xf>
    <xf numFmtId="12" fontId="11" fillId="2" borderId="1" xfId="0" applyNumberFormat="1" applyFont="1" applyFill="1" applyBorder="1" applyAlignment="1" applyProtection="1">
      <alignment horizontal="center" vertical="center"/>
      <protection locked="0" hidden="1"/>
    </xf>
    <xf numFmtId="49" fontId="11" fillId="2" borderId="1" xfId="0" applyNumberFormat="1" applyFont="1" applyFill="1" applyBorder="1" applyAlignment="1" applyProtection="1">
      <alignment horizontal="center" vertical="center"/>
      <protection locked="0" hidden="1"/>
    </xf>
    <xf numFmtId="0" fontId="0" fillId="5" borderId="33" xfId="0" applyFill="1" applyBorder="1" applyAlignment="1" applyProtection="1">
      <alignment horizontal="left" vertical="top"/>
      <protection hidden="1"/>
    </xf>
    <xf numFmtId="0" fontId="0" fillId="5" borderId="36" xfId="0" applyFill="1" applyBorder="1" applyAlignment="1" applyProtection="1">
      <alignment horizontal="left" vertical="top"/>
      <protection hidden="1"/>
    </xf>
    <xf numFmtId="0" fontId="11" fillId="5" borderId="31" xfId="0" applyFont="1" applyFill="1" applyBorder="1" applyAlignment="1" applyProtection="1">
      <alignment horizontal="left" vertical="top"/>
      <protection hidden="1"/>
    </xf>
    <xf numFmtId="0" fontId="0" fillId="0" borderId="31" xfId="0" applyBorder="1" applyAlignment="1" applyProtection="1">
      <alignment horizontal="left" vertical="top"/>
      <protection hidden="1"/>
    </xf>
    <xf numFmtId="0" fontId="15" fillId="5" borderId="31" xfId="0" applyFont="1" applyFill="1" applyBorder="1" applyAlignment="1" applyProtection="1">
      <alignment horizontal="left" vertical="top"/>
      <protection hidden="1"/>
    </xf>
    <xf numFmtId="0" fontId="8" fillId="5" borderId="32" xfId="0" applyFont="1" applyFill="1" applyBorder="1" applyAlignment="1" applyProtection="1">
      <alignment horizontal="left" vertical="top"/>
      <protection hidden="1"/>
    </xf>
    <xf numFmtId="0" fontId="8" fillId="5" borderId="34" xfId="0" applyFont="1" applyFill="1" applyBorder="1" applyAlignment="1" applyProtection="1">
      <alignment horizontal="left" vertical="top"/>
      <protection hidden="1"/>
    </xf>
    <xf numFmtId="0" fontId="11" fillId="5" borderId="34" xfId="0" applyFont="1" applyFill="1" applyBorder="1" applyAlignment="1" applyProtection="1">
      <alignment horizontal="left" vertical="top"/>
      <protection hidden="1"/>
    </xf>
    <xf numFmtId="0" fontId="0" fillId="0" borderId="34" xfId="0" applyBorder="1" applyAlignment="1" applyProtection="1">
      <alignment horizontal="left" vertical="top"/>
      <protection hidden="1"/>
    </xf>
    <xf numFmtId="0" fontId="15" fillId="5" borderId="34" xfId="0" applyFont="1" applyFill="1" applyBorder="1" applyAlignment="1" applyProtection="1">
      <alignment horizontal="left" vertical="top"/>
      <protection hidden="1"/>
    </xf>
    <xf numFmtId="0" fontId="0" fillId="5" borderId="30" xfId="0" applyFill="1" applyBorder="1" applyAlignment="1" applyProtection="1">
      <alignment horizontal="left" vertical="top"/>
      <protection locked="0"/>
    </xf>
    <xf numFmtId="0" fontId="0" fillId="5" borderId="31" xfId="0" applyFill="1" applyBorder="1" applyAlignment="1" applyProtection="1">
      <alignment horizontal="left" vertical="top"/>
      <protection locked="0"/>
    </xf>
    <xf numFmtId="0" fontId="9" fillId="5" borderId="31" xfId="0" applyFont="1" applyFill="1" applyBorder="1" applyAlignment="1" applyProtection="1">
      <alignment horizontal="left" vertical="top"/>
      <protection locked="0"/>
    </xf>
    <xf numFmtId="0" fontId="0" fillId="5" borderId="37" xfId="0" applyFill="1" applyBorder="1" applyAlignment="1" applyProtection="1">
      <alignment horizontal="left" vertical="top"/>
      <protection locked="0"/>
    </xf>
    <xf numFmtId="0" fontId="0" fillId="5" borderId="31" xfId="0" applyFill="1" applyBorder="1" applyAlignment="1" applyProtection="1">
      <alignment horizontal="center" vertical="center"/>
      <protection hidden="1"/>
    </xf>
    <xf numFmtId="0" fontId="0" fillId="5" borderId="37" xfId="0" applyFill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2" fontId="5" fillId="0" borderId="38" xfId="1" applyNumberFormat="1" applyFont="1" applyBorder="1" applyAlignment="1" applyProtection="1">
      <alignment horizontal="center"/>
    </xf>
    <xf numFmtId="12" fontId="2" fillId="0" borderId="39" xfId="1" quotePrefix="1" applyNumberFormat="1" applyFont="1" applyBorder="1" applyAlignment="1" applyProtection="1">
      <alignment horizontal="right"/>
    </xf>
    <xf numFmtId="12" fontId="2" fillId="0" borderId="14" xfId="1" applyNumberFormat="1" applyFont="1" applyBorder="1" applyAlignment="1" applyProtection="1">
      <alignment horizontal="right"/>
    </xf>
    <xf numFmtId="165" fontId="2" fillId="2" borderId="14" xfId="1" applyNumberFormat="1" applyFont="1" applyFill="1" applyBorder="1" applyAlignment="1" applyProtection="1">
      <alignment horizontal="right"/>
    </xf>
    <xf numFmtId="165" fontId="0" fillId="0" borderId="0" xfId="0" applyNumberFormat="1"/>
    <xf numFmtId="167" fontId="2" fillId="2" borderId="14" xfId="1" applyNumberFormat="1" applyFont="1" applyFill="1" applyBorder="1" applyAlignment="1" applyProtection="1">
      <alignment horizontal="right"/>
    </xf>
    <xf numFmtId="0" fontId="11" fillId="5" borderId="0" xfId="0" applyFont="1" applyFill="1" applyBorder="1" applyAlignment="1" applyProtection="1">
      <alignment vertical="top" wrapText="1"/>
      <protection hidden="1"/>
    </xf>
    <xf numFmtId="0" fontId="11" fillId="5" borderId="1" xfId="0" applyFont="1" applyFill="1" applyBorder="1" applyAlignment="1" applyProtection="1">
      <alignment vertical="top" wrapText="1"/>
      <protection hidden="1"/>
    </xf>
    <xf numFmtId="0" fontId="11" fillId="5" borderId="0" xfId="0" applyFont="1" applyFill="1" applyBorder="1" applyAlignment="1" applyProtection="1">
      <alignment horizontal="center" vertical="top" wrapText="1"/>
      <protection hidden="1"/>
    </xf>
    <xf numFmtId="0" fontId="0" fillId="5" borderId="0" xfId="0" applyFill="1" applyBorder="1" applyAlignment="1" applyProtection="1">
      <alignment horizontal="left" vertical="top" wrapText="1"/>
      <protection hidden="1"/>
    </xf>
    <xf numFmtId="0" fontId="1" fillId="0" borderId="0" xfId="0" applyFont="1" applyAlignment="1" applyProtection="1">
      <alignment horizontal="center" vertical="center" wrapText="1"/>
    </xf>
    <xf numFmtId="0" fontId="4" fillId="0" borderId="3" xfId="1" applyFont="1" applyBorder="1" applyAlignment="1" applyProtection="1">
      <alignment horizontal="center" vertical="center" wrapText="1"/>
    </xf>
    <xf numFmtId="0" fontId="4" fillId="0" borderId="4" xfId="1" applyFont="1" applyBorder="1" applyAlignment="1" applyProtection="1">
      <alignment horizontal="center" vertical="center" wrapText="1"/>
    </xf>
    <xf numFmtId="0" fontId="4" fillId="0" borderId="5" xfId="1" applyFont="1" applyBorder="1" applyAlignment="1" applyProtection="1">
      <alignment horizontal="center" vertical="center" wrapText="1"/>
    </xf>
  </cellXfs>
  <cellStyles count="2">
    <cellStyle name="Normal" xfId="0" builtinId="0"/>
    <cellStyle name="Normal_Master-PipeSpan-Stress-Defl" xfId="1" xr:uid="{00000000-0005-0000-0000-000001000000}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927100</xdr:colOff>
      <xdr:row>24</xdr:row>
      <xdr:rowOff>47624</xdr:rowOff>
    </xdr:from>
    <xdr:to>
      <xdr:col>3</xdr:col>
      <xdr:colOff>1500188</xdr:colOff>
      <xdr:row>27</xdr:row>
      <xdr:rowOff>34924</xdr:rowOff>
    </xdr:to>
    <xdr:sp macro="" textlink="">
      <xdr:nvSpPr>
        <xdr:cNvPr id="5" name="Multiply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641475" y="5524499"/>
          <a:ext cx="573088" cy="665956"/>
        </a:xfrm>
        <a:prstGeom prst="mathMultiply">
          <a:avLst>
            <a:gd name="adj1" fmla="val 0"/>
          </a:avLst>
        </a:prstGeom>
        <a:solidFill>
          <a:srgbClr val="FF0000">
            <a:alpha val="66000"/>
          </a:srgbClr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1238247</xdr:colOff>
      <xdr:row>27</xdr:row>
      <xdr:rowOff>47625</xdr:rowOff>
    </xdr:from>
    <xdr:to>
      <xdr:col>7</xdr:col>
      <xdr:colOff>726281</xdr:colOff>
      <xdr:row>27</xdr:row>
      <xdr:rowOff>47626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V="1">
          <a:off x="1952622" y="6203156"/>
          <a:ext cx="4226722" cy="1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1226344</xdr:colOff>
      <xdr:row>26</xdr:row>
      <xdr:rowOff>59520</xdr:rowOff>
    </xdr:from>
    <xdr:to>
      <xdr:col>3</xdr:col>
      <xdr:colOff>1226345</xdr:colOff>
      <xdr:row>27</xdr:row>
      <xdr:rowOff>190501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V="1">
          <a:off x="1940719" y="5988833"/>
          <a:ext cx="1" cy="35719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631032</xdr:colOff>
      <xdr:row>4</xdr:row>
      <xdr:rowOff>59531</xdr:rowOff>
    </xdr:from>
    <xdr:to>
      <xdr:col>7</xdr:col>
      <xdr:colOff>631034</xdr:colOff>
      <xdr:row>6</xdr:row>
      <xdr:rowOff>83344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H="1">
          <a:off x="6679407" y="750094"/>
          <a:ext cx="2" cy="464344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</xdr:colOff>
      <xdr:row>3</xdr:row>
      <xdr:rowOff>166687</xdr:rowOff>
    </xdr:from>
    <xdr:to>
      <xdr:col>8</xdr:col>
      <xdr:colOff>11906</xdr:colOff>
      <xdr:row>22</xdr:row>
      <xdr:rowOff>23812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 flipH="1">
          <a:off x="6810376" y="619125"/>
          <a:ext cx="11905" cy="5512593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285752</xdr:colOff>
      <xdr:row>5</xdr:row>
      <xdr:rowOff>71437</xdr:rowOff>
    </xdr:from>
    <xdr:to>
      <xdr:col>8</xdr:col>
      <xdr:colOff>297656</xdr:colOff>
      <xdr:row>24</xdr:row>
      <xdr:rowOff>142875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>
          <a:off x="6500815" y="1202531"/>
          <a:ext cx="11904" cy="4417219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754856</xdr:colOff>
      <xdr:row>25</xdr:row>
      <xdr:rowOff>71438</xdr:rowOff>
    </xdr:from>
    <xdr:to>
      <xdr:col>8</xdr:col>
      <xdr:colOff>369093</xdr:colOff>
      <xdr:row>25</xdr:row>
      <xdr:rowOff>83344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>
          <a:off x="6207919" y="5774532"/>
          <a:ext cx="376237" cy="11906"/>
        </a:xfrm>
        <a:prstGeom prst="straightConnector1">
          <a:avLst/>
        </a:prstGeom>
        <a:ln>
          <a:tailEnd type="arrow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654844</xdr:colOff>
      <xdr:row>25</xdr:row>
      <xdr:rowOff>142875</xdr:rowOff>
    </xdr:from>
    <xdr:to>
      <xdr:col>6</xdr:col>
      <xdr:colOff>773907</xdr:colOff>
      <xdr:row>25</xdr:row>
      <xdr:rowOff>142875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/>
      </xdr:nvCxnSpPr>
      <xdr:spPr>
        <a:xfrm>
          <a:off x="1000125" y="7012781"/>
          <a:ext cx="5024438" cy="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714372</xdr:colOff>
      <xdr:row>19</xdr:row>
      <xdr:rowOff>0</xdr:rowOff>
    </xdr:from>
    <xdr:to>
      <xdr:col>8</xdr:col>
      <xdr:colOff>-1</xdr:colOff>
      <xdr:row>25</xdr:row>
      <xdr:rowOff>142875</xdr:rowOff>
    </xdr:to>
    <xdr:sp macro="" textlink="">
      <xdr:nvSpPr>
        <xdr:cNvPr id="37" name="Arc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 rot="5400000">
          <a:off x="4822030" y="4452936"/>
          <a:ext cx="1500188" cy="1285877"/>
        </a:xfrm>
        <a:prstGeom prst="arc">
          <a:avLst>
            <a:gd name="adj1" fmla="val 16200000"/>
            <a:gd name="adj2" fmla="val 170983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140495</xdr:colOff>
      <xdr:row>4</xdr:row>
      <xdr:rowOff>57150</xdr:rowOff>
    </xdr:from>
    <xdr:to>
      <xdr:col>8</xdr:col>
      <xdr:colOff>140497</xdr:colOff>
      <xdr:row>6</xdr:row>
      <xdr:rowOff>80963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CxnSpPr/>
      </xdr:nvCxnSpPr>
      <xdr:spPr>
        <a:xfrm flipH="1">
          <a:off x="6950870" y="747713"/>
          <a:ext cx="2" cy="464344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25</xdr:row>
      <xdr:rowOff>190500</xdr:rowOff>
    </xdr:from>
    <xdr:to>
      <xdr:col>8</xdr:col>
      <xdr:colOff>1</xdr:colOff>
      <xdr:row>27</xdr:row>
      <xdr:rowOff>178596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CxnSpPr/>
      </xdr:nvCxnSpPr>
      <xdr:spPr>
        <a:xfrm flipH="1" flipV="1">
          <a:off x="6215063" y="5893594"/>
          <a:ext cx="1" cy="44053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130968</xdr:colOff>
      <xdr:row>24</xdr:row>
      <xdr:rowOff>154781</xdr:rowOff>
    </xdr:from>
    <xdr:to>
      <xdr:col>8</xdr:col>
      <xdr:colOff>476251</xdr:colOff>
      <xdr:row>24</xdr:row>
      <xdr:rowOff>166688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CxnSpPr/>
      </xdr:nvCxnSpPr>
      <xdr:spPr>
        <a:xfrm flipH="1" flipV="1">
          <a:off x="6346031" y="5631656"/>
          <a:ext cx="345283" cy="1190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774700</xdr:colOff>
      <xdr:row>25</xdr:row>
      <xdr:rowOff>76200</xdr:rowOff>
    </xdr:from>
    <xdr:to>
      <xdr:col>7</xdr:col>
      <xdr:colOff>101600</xdr:colOff>
      <xdr:row>25</xdr:row>
      <xdr:rowOff>203200</xdr:rowOff>
    </xdr:to>
    <xdr:sp macro="" textlink="">
      <xdr:nvSpPr>
        <xdr:cNvPr id="47" name="Oval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6388100" y="6972300"/>
          <a:ext cx="127000" cy="127000"/>
        </a:xfrm>
        <a:prstGeom prst="ellipse">
          <a:avLst/>
        </a:prstGeom>
        <a:solidFill>
          <a:srgbClr val="C00000"/>
        </a:solidFill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698500</xdr:colOff>
      <xdr:row>22</xdr:row>
      <xdr:rowOff>25400</xdr:rowOff>
    </xdr:from>
    <xdr:to>
      <xdr:col>8</xdr:col>
      <xdr:colOff>63500</xdr:colOff>
      <xdr:row>22</xdr:row>
      <xdr:rowOff>127000</xdr:rowOff>
    </xdr:to>
    <xdr:sp macro="" textlink="">
      <xdr:nvSpPr>
        <xdr:cNvPr id="48" name="Oval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 flipV="1">
          <a:off x="7112000" y="6235700"/>
          <a:ext cx="127000" cy="101600"/>
        </a:xfrm>
        <a:prstGeom prst="ellipse">
          <a:avLst/>
        </a:prstGeom>
        <a:solidFill>
          <a:srgbClr val="C00000"/>
        </a:solidFill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200026</xdr:colOff>
      <xdr:row>5</xdr:row>
      <xdr:rowOff>80963</xdr:rowOff>
    </xdr:from>
    <xdr:to>
      <xdr:col>8</xdr:col>
      <xdr:colOff>476250</xdr:colOff>
      <xdr:row>5</xdr:row>
      <xdr:rowOff>83344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CxnSpPr/>
      </xdr:nvCxnSpPr>
      <xdr:spPr>
        <a:xfrm flipH="1" flipV="1">
          <a:off x="6415089" y="1212057"/>
          <a:ext cx="276224" cy="238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9"/>
  <sheetViews>
    <sheetView tabSelected="1" topLeftCell="A28" zoomScale="85" zoomScaleNormal="85" workbookViewId="0">
      <selection activeCell="W20" sqref="W20"/>
    </sheetView>
  </sheetViews>
  <sheetFormatPr defaultRowHeight="18" customHeight="1" x14ac:dyDescent="0.25"/>
  <cols>
    <col min="1" max="1" width="3.5703125" style="47" customWidth="1"/>
    <col min="2" max="2" width="3.7109375" style="46" customWidth="1"/>
    <col min="3" max="3" width="3.28515625" style="46" customWidth="1"/>
    <col min="4" max="4" width="41.7109375" style="55" customWidth="1"/>
    <col min="5" max="5" width="10.7109375" style="55" customWidth="1"/>
    <col min="6" max="6" width="12" style="55" customWidth="1"/>
    <col min="7" max="7" width="5.28515625" style="46" customWidth="1"/>
    <col min="8" max="8" width="11.42578125" style="46" customWidth="1"/>
    <col min="9" max="9" width="7.7109375" style="46" customWidth="1"/>
    <col min="10" max="10" width="2.140625" style="46" customWidth="1"/>
    <col min="11" max="11" width="1.7109375" style="46" customWidth="1"/>
    <col min="12" max="12" width="10.5703125" style="46" customWidth="1"/>
    <col min="13" max="13" width="5.85546875" style="46" customWidth="1"/>
    <col min="14" max="14" width="8.85546875" style="46" customWidth="1"/>
    <col min="15" max="15" width="6.85546875" style="46" customWidth="1"/>
    <col min="16" max="16" width="33.28515625" style="46" customWidth="1"/>
    <col min="17" max="18" width="15.42578125" style="46" customWidth="1"/>
    <col min="19" max="19" width="5.28515625" style="46" customWidth="1"/>
    <col min="20" max="20" width="2.85546875" style="46" customWidth="1"/>
    <col min="21" max="28" width="9.140625" style="46"/>
    <col min="29" max="16384" width="9.140625" style="47"/>
  </cols>
  <sheetData>
    <row r="1" spans="1:30" ht="18" customHeight="1" x14ac:dyDescent="0.25">
      <c r="A1" s="43"/>
      <c r="B1" s="44"/>
      <c r="C1" s="44"/>
      <c r="D1" s="45"/>
      <c r="E1" s="45"/>
      <c r="F1" s="45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</row>
    <row r="2" spans="1:30" ht="18" customHeight="1" thickBot="1" x14ac:dyDescent="0.3">
      <c r="A2" s="48"/>
      <c r="B2" s="49"/>
      <c r="C2" s="49"/>
      <c r="D2" s="50"/>
      <c r="E2" s="50"/>
      <c r="F2" s="50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49"/>
      <c r="T2" s="49"/>
      <c r="U2" s="49"/>
      <c r="V2" s="49"/>
      <c r="W2" s="49"/>
      <c r="X2" s="49"/>
      <c r="Y2" s="49"/>
      <c r="Z2" s="49"/>
      <c r="AA2" s="49"/>
      <c r="AB2" s="49"/>
      <c r="AC2" s="48"/>
    </row>
    <row r="3" spans="1:30" ht="18" customHeight="1" thickBot="1" x14ac:dyDescent="0.3">
      <c r="A3" s="48"/>
      <c r="B3" s="56"/>
      <c r="C3" s="97"/>
      <c r="D3" s="57" t="s">
        <v>59</v>
      </c>
      <c r="E3" s="58"/>
      <c r="F3" s="58"/>
      <c r="G3" s="59"/>
      <c r="H3" s="59"/>
      <c r="I3" s="59"/>
      <c r="J3" s="59"/>
      <c r="K3" s="59"/>
      <c r="L3" s="60"/>
      <c r="M3" s="57"/>
      <c r="N3" s="57"/>
      <c r="O3" s="57" t="s">
        <v>60</v>
      </c>
      <c r="P3" s="61"/>
      <c r="Q3" s="61"/>
      <c r="R3" s="61"/>
      <c r="S3" s="61"/>
      <c r="T3" s="107"/>
      <c r="U3" s="49"/>
      <c r="V3" s="49"/>
      <c r="W3" s="49"/>
      <c r="X3" s="49"/>
      <c r="Y3" s="49"/>
      <c r="Z3" s="49"/>
      <c r="AA3" s="49"/>
      <c r="AB3" s="49"/>
      <c r="AC3" s="49"/>
      <c r="AD3" s="48"/>
    </row>
    <row r="4" spans="1:30" ht="18" customHeight="1" x14ac:dyDescent="0.25">
      <c r="A4" s="48"/>
      <c r="B4" s="63"/>
      <c r="C4" s="56"/>
      <c r="D4" s="58"/>
      <c r="E4" s="58"/>
      <c r="F4" s="58"/>
      <c r="G4" s="59"/>
      <c r="H4" s="59"/>
      <c r="I4" s="62"/>
      <c r="J4" s="65"/>
      <c r="K4" s="102"/>
      <c r="L4" s="59"/>
      <c r="M4" s="59"/>
      <c r="N4" s="59"/>
      <c r="O4" s="59"/>
      <c r="P4" s="61"/>
      <c r="Q4" s="61"/>
      <c r="R4" s="61"/>
      <c r="S4" s="107"/>
      <c r="T4" s="108"/>
      <c r="U4" s="49"/>
      <c r="V4" s="49"/>
      <c r="W4" s="49"/>
      <c r="X4" s="49"/>
      <c r="Y4" s="49"/>
      <c r="Z4" s="49"/>
      <c r="AA4" s="49"/>
      <c r="AB4" s="49"/>
      <c r="AC4" s="49"/>
      <c r="AD4" s="48"/>
    </row>
    <row r="5" spans="1:30" ht="18" customHeight="1" x14ac:dyDescent="0.25">
      <c r="A5" s="48"/>
      <c r="B5" s="63"/>
      <c r="C5" s="63"/>
      <c r="D5" s="68" t="s">
        <v>39</v>
      </c>
      <c r="E5" s="69"/>
      <c r="F5" s="69"/>
      <c r="G5" s="65"/>
      <c r="H5" s="65"/>
      <c r="I5" s="67"/>
      <c r="J5" s="65"/>
      <c r="K5" s="103"/>
      <c r="L5" s="70" t="s">
        <v>54</v>
      </c>
      <c r="M5" s="71"/>
      <c r="N5" s="71"/>
      <c r="O5" s="71"/>
      <c r="P5" s="66" t="s">
        <v>46</v>
      </c>
      <c r="Q5" s="66"/>
      <c r="R5" s="66"/>
      <c r="S5" s="108"/>
      <c r="T5" s="108"/>
      <c r="U5" s="49"/>
      <c r="V5" s="49"/>
      <c r="W5" s="49"/>
      <c r="X5" s="49"/>
      <c r="Y5" s="49"/>
      <c r="Z5" s="49"/>
      <c r="AA5" s="49"/>
      <c r="AB5" s="49"/>
      <c r="AC5" s="49"/>
      <c r="AD5" s="48"/>
    </row>
    <row r="6" spans="1:30" ht="18" customHeight="1" x14ac:dyDescent="0.25">
      <c r="A6" s="48"/>
      <c r="B6" s="63"/>
      <c r="C6" s="63"/>
      <c r="D6" s="72" t="s">
        <v>40</v>
      </c>
      <c r="E6" s="94">
        <v>3</v>
      </c>
      <c r="F6" s="73" t="s">
        <v>0</v>
      </c>
      <c r="G6" s="65"/>
      <c r="H6" s="65"/>
      <c r="I6" s="67"/>
      <c r="J6" s="65"/>
      <c r="K6" s="103"/>
      <c r="L6" s="74">
        <f>12*Q11*Q10*L27/L15^3/1000</f>
        <v>4.9933703128479028</v>
      </c>
      <c r="M6" s="75" t="s">
        <v>49</v>
      </c>
      <c r="N6" s="71"/>
      <c r="O6" s="71"/>
      <c r="P6" s="66"/>
      <c r="Q6" s="66"/>
      <c r="R6" s="66"/>
      <c r="S6" s="108"/>
      <c r="T6" s="108"/>
      <c r="U6" s="49"/>
      <c r="V6" s="49"/>
      <c r="W6" s="49"/>
      <c r="X6" s="49"/>
      <c r="Y6" s="49"/>
      <c r="Z6" s="49"/>
      <c r="AA6" s="49"/>
      <c r="AB6" s="49"/>
      <c r="AC6" s="49"/>
      <c r="AD6" s="48"/>
    </row>
    <row r="7" spans="1:30" ht="18.75" customHeight="1" x14ac:dyDescent="0.25">
      <c r="A7" s="48"/>
      <c r="B7" s="63"/>
      <c r="C7" s="63"/>
      <c r="D7" s="72" t="s">
        <v>38</v>
      </c>
      <c r="E7" s="94">
        <v>21</v>
      </c>
      <c r="F7" s="73" t="s">
        <v>35</v>
      </c>
      <c r="G7" s="65"/>
      <c r="H7" s="65"/>
      <c r="I7" s="99"/>
      <c r="J7" s="66"/>
      <c r="K7" s="104"/>
      <c r="L7" s="76">
        <f>L6*1000/9.81</f>
        <v>509.0081868346486</v>
      </c>
      <c r="M7" s="72" t="s">
        <v>58</v>
      </c>
      <c r="N7" s="66"/>
      <c r="O7" s="66"/>
      <c r="P7" s="72" t="s">
        <v>20</v>
      </c>
      <c r="Q7" s="77">
        <f>VLOOKUP(E18,'STD PIPE WALL THICKNESS'!A6:B44,2,FALSE)</f>
        <v>219.1</v>
      </c>
      <c r="R7" s="78" t="s">
        <v>0</v>
      </c>
      <c r="S7" s="108"/>
      <c r="T7" s="108"/>
      <c r="U7" s="49"/>
      <c r="V7" s="49"/>
      <c r="W7" s="49"/>
      <c r="X7" s="49"/>
      <c r="Y7" s="49"/>
      <c r="Z7" s="49"/>
      <c r="AA7" s="49"/>
      <c r="AB7" s="49"/>
      <c r="AC7" s="49"/>
      <c r="AD7" s="48"/>
    </row>
    <row r="8" spans="1:30" ht="18" customHeight="1" x14ac:dyDescent="0.25">
      <c r="A8" s="48"/>
      <c r="B8" s="63"/>
      <c r="C8" s="63"/>
      <c r="D8" s="69"/>
      <c r="E8" s="69"/>
      <c r="F8" s="69"/>
      <c r="G8" s="65"/>
      <c r="H8" s="65"/>
      <c r="I8" s="99"/>
      <c r="J8" s="66"/>
      <c r="K8" s="104"/>
      <c r="L8" s="79"/>
      <c r="M8" s="79"/>
      <c r="N8" s="66"/>
      <c r="O8" s="66"/>
      <c r="P8" s="72" t="s">
        <v>80</v>
      </c>
      <c r="Q8" s="77">
        <f>DGET('STD PIPE WALL THICKNESS'!A6:T44,E20,E17:E18)</f>
        <v>8.18</v>
      </c>
      <c r="R8" s="78" t="s">
        <v>0</v>
      </c>
      <c r="S8" s="108"/>
      <c r="T8" s="108"/>
      <c r="U8" s="49"/>
      <c r="V8" s="49"/>
      <c r="W8" s="49"/>
      <c r="X8" s="49"/>
      <c r="Y8" s="49"/>
      <c r="Z8" s="49"/>
      <c r="AA8" s="49"/>
      <c r="AB8" s="49"/>
      <c r="AC8" s="49"/>
      <c r="AD8" s="48"/>
    </row>
    <row r="9" spans="1:30" ht="18" customHeight="1" x14ac:dyDescent="0.25">
      <c r="A9" s="48"/>
      <c r="B9" s="63"/>
      <c r="C9" s="63"/>
      <c r="D9" s="69"/>
      <c r="E9" s="69"/>
      <c r="F9" s="69"/>
      <c r="G9" s="65"/>
      <c r="H9" s="65"/>
      <c r="I9" s="99"/>
      <c r="J9" s="66"/>
      <c r="K9" s="104"/>
      <c r="L9" s="66"/>
      <c r="M9" s="66"/>
      <c r="N9" s="66"/>
      <c r="O9" s="66"/>
      <c r="P9" s="72" t="s">
        <v>21</v>
      </c>
      <c r="Q9" s="77">
        <f>Q7-2*Q8</f>
        <v>202.74</v>
      </c>
      <c r="R9" s="78" t="s">
        <v>0</v>
      </c>
      <c r="S9" s="108"/>
      <c r="T9" s="108"/>
      <c r="U9" s="49"/>
      <c r="V9" s="49"/>
      <c r="W9" s="49"/>
      <c r="X9" s="49"/>
      <c r="Y9" s="49"/>
      <c r="Z9" s="49"/>
      <c r="AA9" s="49"/>
      <c r="AB9" s="49"/>
      <c r="AC9" s="49"/>
      <c r="AD9" s="48"/>
    </row>
    <row r="10" spans="1:30" ht="18" customHeight="1" x14ac:dyDescent="0.25">
      <c r="A10" s="48"/>
      <c r="B10" s="63"/>
      <c r="C10" s="63"/>
      <c r="D10" s="69"/>
      <c r="E10" s="69"/>
      <c r="F10" s="69"/>
      <c r="G10" s="65"/>
      <c r="H10" s="65"/>
      <c r="I10" s="99"/>
      <c r="J10" s="66"/>
      <c r="K10" s="104"/>
      <c r="L10" s="66"/>
      <c r="M10" s="66"/>
      <c r="N10" s="66"/>
      <c r="O10" s="66"/>
      <c r="P10" s="72" t="s">
        <v>81</v>
      </c>
      <c r="Q10" s="77">
        <f>PI()*(Q7^4-Q9^4)/64</f>
        <v>30186947.570849467</v>
      </c>
      <c r="R10" s="78" t="s">
        <v>42</v>
      </c>
      <c r="S10" s="109"/>
      <c r="T10" s="109"/>
      <c r="U10" s="52"/>
      <c r="V10" s="49"/>
      <c r="W10" s="49"/>
      <c r="X10" s="49"/>
      <c r="Y10" s="49"/>
      <c r="Z10" s="49"/>
      <c r="AA10" s="49"/>
      <c r="AB10" s="49"/>
      <c r="AC10" s="49"/>
      <c r="AD10" s="48"/>
    </row>
    <row r="11" spans="1:30" ht="18" customHeight="1" x14ac:dyDescent="0.25">
      <c r="A11" s="48"/>
      <c r="B11" s="63"/>
      <c r="C11" s="63"/>
      <c r="D11" s="69"/>
      <c r="E11" s="69"/>
      <c r="F11" s="69"/>
      <c r="G11" s="65"/>
      <c r="H11" s="65"/>
      <c r="I11" s="99"/>
      <c r="J11" s="66"/>
      <c r="K11" s="104"/>
      <c r="L11" s="66"/>
      <c r="M11" s="66"/>
      <c r="N11" s="66"/>
      <c r="O11" s="66"/>
      <c r="P11" s="72" t="s">
        <v>1</v>
      </c>
      <c r="Q11" s="77">
        <f>IF(E22="CS",'MATERIAL  DATA'!B2/1000,'MATERIAL  DATA'!H2/1000)</f>
        <v>203400</v>
      </c>
      <c r="R11" s="78" t="s">
        <v>43</v>
      </c>
      <c r="S11" s="109"/>
      <c r="T11" s="109"/>
      <c r="U11" s="52"/>
      <c r="V11" s="49"/>
      <c r="W11" s="49"/>
      <c r="X11" s="49"/>
      <c r="Y11" s="49"/>
      <c r="Z11" s="49"/>
      <c r="AA11" s="49"/>
      <c r="AB11" s="49"/>
      <c r="AC11" s="49"/>
      <c r="AD11" s="48"/>
    </row>
    <row r="12" spans="1:30" ht="20.25" customHeight="1" x14ac:dyDescent="0.25">
      <c r="A12" s="48"/>
      <c r="B12" s="63"/>
      <c r="C12" s="63"/>
      <c r="D12" s="69"/>
      <c r="E12" s="69"/>
      <c r="F12" s="69"/>
      <c r="G12" s="65"/>
      <c r="H12" s="65"/>
      <c r="I12" s="100"/>
      <c r="J12" s="79"/>
      <c r="K12" s="105"/>
      <c r="L12" s="66"/>
      <c r="M12" s="66"/>
      <c r="N12" s="71"/>
      <c r="O12" s="71"/>
      <c r="P12" s="72" t="s">
        <v>47</v>
      </c>
      <c r="Q12" s="77">
        <f>IF(E22="CS", 'MATERIAL  DATA'!C36,'MATERIAL  DATA'!I36)</f>
        <v>1.2506428571428571E-5</v>
      </c>
      <c r="R12" s="78" t="s">
        <v>5</v>
      </c>
      <c r="S12" s="109"/>
      <c r="T12" s="109"/>
      <c r="U12" s="52"/>
      <c r="V12" s="49"/>
      <c r="W12" s="49"/>
      <c r="X12" s="49"/>
      <c r="Y12" s="49"/>
      <c r="Z12" s="49"/>
      <c r="AA12" s="49"/>
      <c r="AB12" s="49"/>
      <c r="AC12" s="49"/>
      <c r="AD12" s="48"/>
    </row>
    <row r="13" spans="1:30" ht="18" customHeight="1" x14ac:dyDescent="0.25">
      <c r="A13" s="48"/>
      <c r="B13" s="63"/>
      <c r="C13" s="63"/>
      <c r="D13" s="69"/>
      <c r="E13" s="69"/>
      <c r="F13" s="69"/>
      <c r="G13" s="65"/>
      <c r="H13" s="65"/>
      <c r="I13" s="99"/>
      <c r="J13" s="66"/>
      <c r="K13" s="104"/>
      <c r="L13" s="66"/>
      <c r="M13" s="66"/>
      <c r="N13" s="66"/>
      <c r="O13" s="66"/>
      <c r="P13" s="72" t="s">
        <v>33</v>
      </c>
      <c r="Q13" s="76">
        <f>L6*1000*L15/2</f>
        <v>33336912.578485094</v>
      </c>
      <c r="R13" s="78" t="s">
        <v>48</v>
      </c>
      <c r="S13" s="109"/>
      <c r="T13" s="109"/>
      <c r="U13" s="52"/>
      <c r="V13" s="49"/>
      <c r="W13" s="49"/>
      <c r="X13" s="49"/>
      <c r="Y13" s="49"/>
      <c r="Z13" s="49"/>
      <c r="AA13" s="49"/>
      <c r="AB13" s="49"/>
      <c r="AC13" s="49"/>
      <c r="AD13" s="48"/>
    </row>
    <row r="14" spans="1:30" ht="18" customHeight="1" x14ac:dyDescent="0.25">
      <c r="A14" s="48"/>
      <c r="B14" s="63"/>
      <c r="C14" s="63"/>
      <c r="D14" s="69"/>
      <c r="E14" s="69"/>
      <c r="F14" s="69"/>
      <c r="G14" s="65"/>
      <c r="H14" s="65"/>
      <c r="I14" s="99"/>
      <c r="J14" s="66"/>
      <c r="K14" s="104"/>
      <c r="L14" s="66" t="s">
        <v>53</v>
      </c>
      <c r="M14" s="71"/>
      <c r="N14" s="66"/>
      <c r="O14" s="66"/>
      <c r="P14" s="72" t="s">
        <v>76</v>
      </c>
      <c r="Q14" s="76">
        <f>Q13/(Q10/(Q7/2))</f>
        <v>120.98138655462184</v>
      </c>
      <c r="R14" s="78" t="s">
        <v>34</v>
      </c>
      <c r="S14" s="109"/>
      <c r="T14" s="109"/>
      <c r="U14" s="52"/>
      <c r="V14" s="49"/>
      <c r="W14" s="49"/>
      <c r="X14" s="49"/>
      <c r="Y14" s="49"/>
      <c r="Z14" s="49"/>
      <c r="AA14" s="49"/>
      <c r="AB14" s="49"/>
      <c r="AC14" s="49"/>
      <c r="AD14" s="48"/>
    </row>
    <row r="15" spans="1:30" ht="18" customHeight="1" x14ac:dyDescent="0.25">
      <c r="A15" s="48"/>
      <c r="B15" s="63"/>
      <c r="C15" s="63"/>
      <c r="D15" s="69" t="s">
        <v>44</v>
      </c>
      <c r="E15" s="69"/>
      <c r="F15" s="69"/>
      <c r="G15" s="65"/>
      <c r="H15" s="86" t="s">
        <v>82</v>
      </c>
      <c r="I15" s="99"/>
      <c r="J15" s="66"/>
      <c r="K15" s="104"/>
      <c r="L15" s="76">
        <f>SQRT(3*Q11*L27*Q7/Q17)</f>
        <v>13352.469570586214</v>
      </c>
      <c r="M15" s="72" t="s">
        <v>0</v>
      </c>
      <c r="N15" s="66"/>
      <c r="O15" s="66"/>
      <c r="P15" s="72" t="s">
        <v>77</v>
      </c>
      <c r="Q15" s="76">
        <f>IF(E22="CS",'MATERIAL  DATA'!C44/1000,'MATERIAL  DATA'!I44/1000)</f>
        <v>133.21342857142858</v>
      </c>
      <c r="R15" s="78" t="s">
        <v>34</v>
      </c>
      <c r="S15" s="109"/>
      <c r="T15" s="109"/>
      <c r="U15" s="52"/>
      <c r="V15" s="49"/>
      <c r="W15" s="49"/>
      <c r="X15" s="49"/>
      <c r="Y15" s="49"/>
      <c r="Z15" s="49"/>
      <c r="AA15" s="49"/>
      <c r="AB15" s="49"/>
      <c r="AC15" s="49"/>
      <c r="AD15" s="48"/>
    </row>
    <row r="16" spans="1:30" ht="18" customHeight="1" x14ac:dyDescent="0.25">
      <c r="A16" s="48"/>
      <c r="B16" s="63"/>
      <c r="C16" s="63"/>
      <c r="D16" s="69"/>
      <c r="E16" s="69"/>
      <c r="F16" s="69"/>
      <c r="G16" s="65"/>
      <c r="H16" s="65"/>
      <c r="I16" s="99"/>
      <c r="J16" s="66"/>
      <c r="K16" s="104"/>
      <c r="L16" s="66"/>
      <c r="M16" s="66"/>
      <c r="N16" s="66"/>
      <c r="O16" s="66"/>
      <c r="P16" s="72" t="s">
        <v>78</v>
      </c>
      <c r="Q16" s="76">
        <v>137.892</v>
      </c>
      <c r="R16" s="78" t="s">
        <v>34</v>
      </c>
      <c r="S16" s="109"/>
      <c r="T16" s="109"/>
      <c r="U16" s="52"/>
      <c r="V16" s="49"/>
      <c r="W16" s="49"/>
      <c r="X16" s="49"/>
      <c r="Y16" s="49"/>
      <c r="Z16" s="49"/>
      <c r="AA16" s="49"/>
      <c r="AB16" s="49"/>
      <c r="AC16" s="49"/>
      <c r="AD16" s="48"/>
    </row>
    <row r="17" spans="1:30" ht="18" customHeight="1" x14ac:dyDescent="0.25">
      <c r="A17" s="48"/>
      <c r="B17" s="63"/>
      <c r="C17" s="63"/>
      <c r="D17" s="64"/>
      <c r="E17" s="80" t="s">
        <v>11</v>
      </c>
      <c r="F17" s="64"/>
      <c r="G17" s="65"/>
      <c r="H17" s="65"/>
      <c r="I17" s="99"/>
      <c r="J17" s="66"/>
      <c r="K17" s="104"/>
      <c r="L17" s="66"/>
      <c r="M17" s="68"/>
      <c r="N17" s="66"/>
      <c r="O17" s="66"/>
      <c r="P17" s="123" t="s">
        <v>79</v>
      </c>
      <c r="Q17" s="76">
        <f>(1.25*Q16+0.25*Q15)/Q18</f>
        <v>120.98138655462186</v>
      </c>
      <c r="R17" s="78" t="s">
        <v>34</v>
      </c>
      <c r="S17" s="109"/>
      <c r="T17" s="109"/>
      <c r="U17" s="52"/>
      <c r="V17" s="49"/>
      <c r="W17" s="49"/>
      <c r="X17" s="49"/>
      <c r="Y17" s="49"/>
      <c r="Z17" s="49"/>
      <c r="AA17" s="49"/>
      <c r="AB17" s="49"/>
      <c r="AC17" s="49"/>
      <c r="AD17" s="48"/>
    </row>
    <row r="18" spans="1:30" ht="18" customHeight="1" x14ac:dyDescent="0.25">
      <c r="A18" s="48"/>
      <c r="B18" s="63"/>
      <c r="C18" s="63"/>
      <c r="D18" s="82" t="s">
        <v>57</v>
      </c>
      <c r="E18" s="95">
        <v>8</v>
      </c>
      <c r="F18" s="66" t="s">
        <v>41</v>
      </c>
      <c r="G18" s="65"/>
      <c r="H18" s="65"/>
      <c r="I18" s="99"/>
      <c r="J18" s="66"/>
      <c r="K18" s="104"/>
      <c r="L18" s="66"/>
      <c r="M18" s="66"/>
      <c r="N18" s="66"/>
      <c r="O18" s="66"/>
      <c r="P18" s="123" t="s">
        <v>73</v>
      </c>
      <c r="Q18" s="74">
        <v>1.7</v>
      </c>
      <c r="R18" s="78" t="s">
        <v>84</v>
      </c>
      <c r="S18" s="109"/>
      <c r="T18" s="109"/>
      <c r="U18" s="52"/>
      <c r="V18" s="49"/>
      <c r="W18" s="49"/>
      <c r="X18" s="49"/>
      <c r="Y18" s="49"/>
      <c r="Z18" s="49"/>
      <c r="AA18" s="49"/>
      <c r="AB18" s="49"/>
      <c r="AC18" s="49"/>
      <c r="AD18" s="48"/>
    </row>
    <row r="19" spans="1:30" ht="18" customHeight="1" x14ac:dyDescent="0.25">
      <c r="A19" s="48"/>
      <c r="B19" s="63"/>
      <c r="C19" s="63"/>
      <c r="D19" s="82"/>
      <c r="E19" s="69"/>
      <c r="F19" s="69"/>
      <c r="G19" s="65"/>
      <c r="H19" s="65"/>
      <c r="I19" s="99"/>
      <c r="J19" s="66"/>
      <c r="K19" s="104"/>
      <c r="L19" s="66"/>
      <c r="M19" s="66"/>
      <c r="N19" s="71"/>
      <c r="O19" s="71"/>
      <c r="P19" s="122"/>
      <c r="S19" s="109"/>
      <c r="T19" s="109"/>
      <c r="U19" s="52"/>
      <c r="V19" s="49"/>
      <c r="W19" s="49"/>
      <c r="X19" s="49"/>
      <c r="Y19" s="49"/>
      <c r="Z19" s="49"/>
      <c r="AA19" s="49"/>
      <c r="AB19" s="49"/>
      <c r="AC19" s="49"/>
      <c r="AD19" s="48"/>
    </row>
    <row r="20" spans="1:30" ht="18" customHeight="1" x14ac:dyDescent="0.25">
      <c r="A20" s="48"/>
      <c r="B20" s="63"/>
      <c r="C20" s="63"/>
      <c r="D20" s="82" t="s">
        <v>6</v>
      </c>
      <c r="E20" s="96" t="s">
        <v>15</v>
      </c>
      <c r="F20" s="69"/>
      <c r="G20" s="65"/>
      <c r="H20" s="65"/>
      <c r="I20" s="99"/>
      <c r="J20" s="66"/>
      <c r="K20" s="104"/>
      <c r="L20" s="66"/>
      <c r="M20" s="66"/>
      <c r="N20" s="71"/>
      <c r="O20" s="71"/>
      <c r="P20" s="71"/>
      <c r="Q20" s="71"/>
      <c r="R20" s="71"/>
      <c r="S20" s="109"/>
      <c r="T20" s="109"/>
      <c r="U20" s="52"/>
      <c r="V20" s="49"/>
      <c r="W20" s="49"/>
      <c r="X20" s="49"/>
      <c r="Y20" s="49"/>
      <c r="Z20" s="49"/>
      <c r="AA20" s="49"/>
      <c r="AB20" s="49"/>
      <c r="AC20" s="49"/>
      <c r="AD20" s="48"/>
    </row>
    <row r="21" spans="1:30" ht="18" customHeight="1" x14ac:dyDescent="0.25">
      <c r="A21" s="48"/>
      <c r="B21" s="63"/>
      <c r="C21" s="63"/>
      <c r="D21" s="82"/>
      <c r="E21" s="69"/>
      <c r="F21" s="69"/>
      <c r="G21" s="65"/>
      <c r="H21" s="65"/>
      <c r="I21" s="99"/>
      <c r="J21" s="66"/>
      <c r="K21" s="104"/>
      <c r="L21" s="66"/>
      <c r="M21" s="66"/>
      <c r="N21" s="71"/>
      <c r="O21" s="71"/>
      <c r="P21" s="71"/>
      <c r="Q21" s="71"/>
      <c r="R21" s="71"/>
      <c r="S21" s="109"/>
      <c r="T21" s="109"/>
      <c r="U21" s="52"/>
      <c r="V21" s="49"/>
      <c r="W21" s="49"/>
      <c r="X21" s="49"/>
      <c r="Y21" s="49"/>
      <c r="Z21" s="49"/>
      <c r="AA21" s="49"/>
      <c r="AB21" s="49"/>
      <c r="AC21" s="49"/>
      <c r="AD21" s="48"/>
    </row>
    <row r="22" spans="1:30" ht="18" customHeight="1" x14ac:dyDescent="0.25">
      <c r="A22" s="48"/>
      <c r="B22" s="63"/>
      <c r="C22" s="63"/>
      <c r="D22" s="82" t="s">
        <v>7</v>
      </c>
      <c r="E22" s="94" t="s">
        <v>83</v>
      </c>
      <c r="F22" s="69"/>
      <c r="G22" s="65"/>
      <c r="H22" s="65"/>
      <c r="I22" s="99"/>
      <c r="J22" s="66"/>
      <c r="K22" s="104"/>
      <c r="L22" s="66"/>
      <c r="M22" s="66"/>
      <c r="N22" s="71"/>
      <c r="O22" s="71"/>
      <c r="P22" s="71"/>
      <c r="Q22" s="71"/>
      <c r="R22" s="71"/>
      <c r="S22" s="109"/>
      <c r="T22" s="109"/>
      <c r="U22" s="52"/>
      <c r="V22" s="49"/>
      <c r="W22" s="49"/>
      <c r="X22" s="49"/>
      <c r="Y22" s="49"/>
      <c r="Z22" s="49"/>
      <c r="AA22" s="49"/>
      <c r="AB22" s="49"/>
      <c r="AC22" s="49"/>
      <c r="AD22" s="48"/>
    </row>
    <row r="23" spans="1:30" ht="18" customHeight="1" x14ac:dyDescent="0.25">
      <c r="A23" s="48"/>
      <c r="B23" s="63"/>
      <c r="C23" s="63"/>
      <c r="D23" s="82"/>
      <c r="E23" s="69"/>
      <c r="F23" s="69"/>
      <c r="G23" s="65"/>
      <c r="H23" s="65"/>
      <c r="I23" s="99"/>
      <c r="J23" s="66"/>
      <c r="K23" s="104"/>
      <c r="L23" s="66"/>
      <c r="M23" s="66"/>
      <c r="N23" s="71"/>
      <c r="O23" s="71"/>
      <c r="P23" s="71"/>
      <c r="Q23" s="71"/>
      <c r="R23" s="71"/>
      <c r="S23" s="109"/>
      <c r="T23" s="109"/>
      <c r="U23" s="52"/>
      <c r="V23" s="49"/>
      <c r="W23" s="49"/>
      <c r="X23" s="49"/>
      <c r="Y23" s="49"/>
      <c r="Z23" s="49"/>
      <c r="AA23" s="49"/>
      <c r="AB23" s="49"/>
      <c r="AC23" s="49"/>
      <c r="AD23" s="48"/>
    </row>
    <row r="24" spans="1:30" ht="18" customHeight="1" x14ac:dyDescent="0.25">
      <c r="A24" s="48"/>
      <c r="B24" s="63"/>
      <c r="C24" s="63"/>
      <c r="D24" s="82" t="s">
        <v>36</v>
      </c>
      <c r="E24" s="94">
        <v>240</v>
      </c>
      <c r="F24" s="66" t="s">
        <v>56</v>
      </c>
      <c r="G24" s="65"/>
      <c r="H24" s="65"/>
      <c r="I24" s="99"/>
      <c r="J24" s="66"/>
      <c r="K24" s="104"/>
      <c r="L24" s="66"/>
      <c r="M24" s="66"/>
      <c r="N24" s="71"/>
      <c r="O24" s="71"/>
      <c r="P24" s="71"/>
      <c r="Q24" s="71"/>
      <c r="R24" s="71"/>
      <c r="S24" s="109"/>
      <c r="T24" s="109"/>
      <c r="U24" s="52"/>
      <c r="V24" s="49"/>
      <c r="W24" s="53"/>
      <c r="X24" s="49"/>
      <c r="Y24" s="53"/>
      <c r="Z24" s="49"/>
      <c r="AA24" s="49"/>
      <c r="AB24" s="49"/>
      <c r="AC24" s="49"/>
      <c r="AD24" s="48"/>
    </row>
    <row r="25" spans="1:30" ht="18" customHeight="1" x14ac:dyDescent="0.25">
      <c r="A25" s="48"/>
      <c r="B25" s="63"/>
      <c r="C25" s="63"/>
      <c r="D25" s="83"/>
      <c r="E25" s="83"/>
      <c r="F25" s="83"/>
      <c r="G25" s="65"/>
      <c r="H25" s="84"/>
      <c r="I25" s="99"/>
      <c r="J25" s="66"/>
      <c r="K25" s="104"/>
      <c r="L25" s="66"/>
      <c r="M25" s="66"/>
      <c r="N25" s="71"/>
      <c r="O25" s="71"/>
      <c r="P25" s="66" t="s">
        <v>50</v>
      </c>
      <c r="Q25" s="81"/>
      <c r="R25" s="81"/>
      <c r="S25" s="108"/>
      <c r="T25" s="108"/>
      <c r="U25" s="49"/>
      <c r="V25" s="49"/>
      <c r="W25" s="49"/>
      <c r="X25" s="49"/>
      <c r="Y25" s="49"/>
      <c r="Z25" s="49"/>
      <c r="AA25" s="49"/>
      <c r="AB25" s="49"/>
      <c r="AC25" s="49"/>
      <c r="AD25" s="48"/>
    </row>
    <row r="26" spans="1:30" ht="18" customHeight="1" x14ac:dyDescent="0.25">
      <c r="A26" s="48"/>
      <c r="B26" s="63"/>
      <c r="C26" s="63"/>
      <c r="D26" s="83"/>
      <c r="E26" s="83"/>
      <c r="F26" s="83"/>
      <c r="G26" s="65"/>
      <c r="H26" s="65"/>
      <c r="I26" s="99"/>
      <c r="J26" s="66"/>
      <c r="K26" s="104"/>
      <c r="L26" s="85" t="s">
        <v>52</v>
      </c>
      <c r="M26" s="85"/>
      <c r="N26" s="71"/>
      <c r="O26" s="71"/>
      <c r="P26" s="71" t="s">
        <v>45</v>
      </c>
      <c r="Q26" s="81"/>
      <c r="R26" s="81"/>
      <c r="S26" s="108"/>
      <c r="T26" s="108"/>
      <c r="U26" s="49"/>
      <c r="V26" s="49"/>
      <c r="W26" s="49"/>
      <c r="X26" s="49"/>
      <c r="Y26" s="49"/>
      <c r="Z26" s="49"/>
      <c r="AA26" s="49"/>
      <c r="AB26" s="49"/>
      <c r="AC26" s="49"/>
      <c r="AD26" s="48"/>
    </row>
    <row r="27" spans="1:30" ht="18" customHeight="1" x14ac:dyDescent="0.25">
      <c r="A27" s="48"/>
      <c r="B27" s="63"/>
      <c r="C27" s="63"/>
      <c r="D27" s="83"/>
      <c r="E27" s="86" t="s">
        <v>37</v>
      </c>
      <c r="F27" s="83"/>
      <c r="G27" s="65"/>
      <c r="H27" s="65"/>
      <c r="I27" s="101"/>
      <c r="J27" s="87"/>
      <c r="K27" s="106"/>
      <c r="L27" s="88">
        <f>Q12*E30*(E24-E7)-(E6)</f>
        <v>161.33447142857145</v>
      </c>
      <c r="M27" s="66" t="s">
        <v>0</v>
      </c>
      <c r="N27" s="71"/>
      <c r="O27" s="71"/>
      <c r="P27" s="71" t="s">
        <v>51</v>
      </c>
      <c r="Q27" s="81"/>
      <c r="R27" s="81"/>
      <c r="S27" s="108"/>
      <c r="T27" s="108"/>
      <c r="U27" s="49"/>
      <c r="V27" s="49"/>
      <c r="W27" s="49"/>
      <c r="X27" s="49"/>
      <c r="Y27" s="49"/>
      <c r="Z27" s="49"/>
      <c r="AA27" s="49"/>
      <c r="AB27" s="49"/>
      <c r="AC27" s="49"/>
      <c r="AD27" s="48"/>
    </row>
    <row r="28" spans="1:30" ht="18" customHeight="1" x14ac:dyDescent="0.25">
      <c r="A28" s="48"/>
      <c r="B28" s="63"/>
      <c r="C28" s="63"/>
      <c r="D28" s="83"/>
      <c r="E28" s="83"/>
      <c r="F28" s="83"/>
      <c r="G28" s="65"/>
      <c r="H28" s="65"/>
      <c r="I28" s="101"/>
      <c r="J28" s="87"/>
      <c r="K28" s="106"/>
      <c r="L28" s="87"/>
      <c r="M28" s="66"/>
      <c r="N28" s="71"/>
      <c r="O28" s="71"/>
      <c r="P28" s="125" t="s">
        <v>74</v>
      </c>
      <c r="Q28" s="125"/>
      <c r="R28" s="125"/>
      <c r="S28" s="108"/>
      <c r="T28" s="108"/>
      <c r="U28" s="49"/>
      <c r="V28" s="49"/>
      <c r="W28" s="49"/>
      <c r="X28" s="49"/>
      <c r="Y28" s="49"/>
      <c r="Z28" s="49"/>
      <c r="AA28" s="49"/>
      <c r="AB28" s="49"/>
      <c r="AC28" s="49"/>
      <c r="AD28" s="48"/>
    </row>
    <row r="29" spans="1:30" ht="18" customHeight="1" x14ac:dyDescent="0.25">
      <c r="A29" s="48"/>
      <c r="B29" s="63"/>
      <c r="C29" s="63"/>
      <c r="D29" s="83"/>
      <c r="E29" s="83"/>
      <c r="F29" s="83"/>
      <c r="G29" s="65"/>
      <c r="H29" s="65"/>
      <c r="I29" s="101"/>
      <c r="J29" s="87"/>
      <c r="K29" s="106"/>
      <c r="L29" s="87"/>
      <c r="M29" s="66"/>
      <c r="N29" s="66"/>
      <c r="O29" s="71"/>
      <c r="P29" s="125"/>
      <c r="Q29" s="125"/>
      <c r="R29" s="125"/>
      <c r="S29" s="108"/>
      <c r="T29" s="108"/>
      <c r="U29" s="49"/>
      <c r="V29" s="49"/>
      <c r="W29" s="49"/>
      <c r="X29" s="49"/>
      <c r="Y29" s="49"/>
      <c r="Z29" s="49"/>
      <c r="AA29" s="49"/>
      <c r="AB29" s="49"/>
      <c r="AC29" s="49"/>
      <c r="AD29" s="48"/>
    </row>
    <row r="30" spans="1:30" ht="22.5" customHeight="1" x14ac:dyDescent="0.25">
      <c r="A30" s="48"/>
      <c r="B30" s="63"/>
      <c r="C30" s="63"/>
      <c r="D30" s="124" t="s">
        <v>55</v>
      </c>
      <c r="E30" s="94">
        <v>60000</v>
      </c>
      <c r="F30" s="69" t="s">
        <v>0</v>
      </c>
      <c r="G30" s="65"/>
      <c r="H30" s="65"/>
      <c r="I30" s="101"/>
      <c r="J30" s="87"/>
      <c r="K30" s="106"/>
      <c r="L30" s="87"/>
      <c r="M30" s="66"/>
      <c r="N30" s="66"/>
      <c r="O30" s="71"/>
      <c r="P30" s="71"/>
      <c r="Q30" s="71"/>
      <c r="R30" s="71"/>
      <c r="S30" s="108"/>
      <c r="T30" s="108"/>
      <c r="U30" s="49"/>
      <c r="V30" s="49"/>
      <c r="W30" s="49"/>
      <c r="X30" s="49"/>
      <c r="Y30" s="49"/>
      <c r="Z30" s="49"/>
      <c r="AA30" s="49"/>
      <c r="AB30" s="49"/>
      <c r="AC30" s="49"/>
      <c r="AD30" s="48"/>
    </row>
    <row r="31" spans="1:30" ht="18" customHeight="1" x14ac:dyDescent="0.25">
      <c r="A31" s="48"/>
      <c r="B31" s="63"/>
      <c r="C31" s="63"/>
      <c r="D31" s="124"/>
      <c r="E31" s="89"/>
      <c r="F31" s="89"/>
      <c r="G31" s="65"/>
      <c r="H31" s="65"/>
      <c r="I31" s="67"/>
      <c r="J31" s="65"/>
      <c r="K31" s="103"/>
      <c r="L31" s="65"/>
      <c r="M31" s="66"/>
      <c r="N31" s="65"/>
      <c r="O31" s="71"/>
      <c r="P31" s="71"/>
      <c r="Q31" s="71"/>
      <c r="R31" s="71"/>
      <c r="S31" s="108"/>
      <c r="T31" s="108"/>
      <c r="U31" s="49"/>
      <c r="V31" s="49"/>
      <c r="W31" s="49"/>
      <c r="X31" s="49"/>
      <c r="Y31" s="49"/>
      <c r="Z31" s="49"/>
      <c r="AA31" s="49"/>
      <c r="AB31" s="49"/>
      <c r="AC31" s="49"/>
      <c r="AD31" s="48"/>
    </row>
    <row r="32" spans="1:30" ht="18" customHeight="1" x14ac:dyDescent="0.25">
      <c r="A32" s="48"/>
      <c r="B32" s="63"/>
      <c r="C32" s="63"/>
      <c r="D32" s="81"/>
      <c r="E32" s="81"/>
      <c r="F32" s="81"/>
      <c r="G32" s="71"/>
      <c r="H32" s="71"/>
      <c r="I32" s="90"/>
      <c r="J32" s="71"/>
      <c r="K32" s="63"/>
      <c r="L32" s="71"/>
      <c r="M32" s="71"/>
      <c r="N32" s="71"/>
      <c r="O32" s="71"/>
      <c r="P32" s="71"/>
      <c r="Q32" s="71"/>
      <c r="R32" s="71"/>
      <c r="S32" s="108"/>
      <c r="T32" s="108"/>
      <c r="U32" s="49"/>
      <c r="V32" s="49"/>
      <c r="W32" s="49"/>
      <c r="X32" s="49"/>
      <c r="Y32" s="49"/>
      <c r="Z32" s="49"/>
      <c r="AA32" s="49"/>
      <c r="AB32" s="49"/>
      <c r="AC32" s="49"/>
      <c r="AD32" s="48"/>
    </row>
    <row r="33" spans="1:30" ht="18" customHeight="1" thickBot="1" x14ac:dyDescent="0.3">
      <c r="A33" s="48"/>
      <c r="B33" s="63"/>
      <c r="C33" s="91"/>
      <c r="D33" s="92"/>
      <c r="E33" s="92"/>
      <c r="F33" s="92"/>
      <c r="G33" s="98"/>
      <c r="H33" s="98"/>
      <c r="I33" s="93"/>
      <c r="J33" s="71"/>
      <c r="K33" s="91"/>
      <c r="L33" s="98"/>
      <c r="M33" s="98"/>
      <c r="N33" s="98"/>
      <c r="O33" s="98"/>
      <c r="P33" s="98"/>
      <c r="Q33" s="98"/>
      <c r="R33" s="98"/>
      <c r="S33" s="110"/>
      <c r="T33" s="108"/>
      <c r="U33" s="49"/>
      <c r="V33" s="49"/>
      <c r="W33" s="49"/>
      <c r="X33" s="49"/>
      <c r="Y33" s="49"/>
      <c r="Z33" s="49"/>
      <c r="AA33" s="49"/>
      <c r="AB33" s="49"/>
      <c r="AC33" s="49"/>
      <c r="AD33" s="48"/>
    </row>
    <row r="34" spans="1:30" ht="9.75" customHeight="1" x14ac:dyDescent="0.25">
      <c r="A34" s="48"/>
      <c r="B34" s="63"/>
      <c r="C34" s="7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71"/>
      <c r="Q34" s="81"/>
      <c r="R34" s="81"/>
      <c r="S34" s="81"/>
      <c r="T34" s="111"/>
      <c r="U34" s="49"/>
      <c r="V34" s="49"/>
      <c r="W34" s="49"/>
      <c r="X34" s="49"/>
      <c r="Y34" s="49"/>
      <c r="Z34" s="49"/>
      <c r="AA34" s="49"/>
      <c r="AB34" s="49"/>
      <c r="AC34" s="49"/>
      <c r="AD34" s="48"/>
    </row>
    <row r="35" spans="1:30" ht="9.75" customHeight="1" thickBot="1" x14ac:dyDescent="0.3">
      <c r="A35" s="48"/>
      <c r="B35" s="91"/>
      <c r="C35" s="98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112"/>
      <c r="U35" s="49"/>
      <c r="V35" s="49"/>
      <c r="W35" s="49"/>
      <c r="X35" s="49"/>
      <c r="Y35" s="49"/>
      <c r="Z35" s="49"/>
      <c r="AA35" s="49"/>
      <c r="AB35" s="49"/>
      <c r="AC35" s="49"/>
      <c r="AD35" s="48"/>
    </row>
    <row r="36" spans="1:30" ht="18" customHeight="1" x14ac:dyDescent="0.25">
      <c r="A36" s="48"/>
      <c r="B36" s="49"/>
      <c r="C36" s="49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8"/>
    </row>
    <row r="37" spans="1:30" ht="18" customHeight="1" x14ac:dyDescent="0.25">
      <c r="A37" s="48"/>
      <c r="B37" s="49"/>
      <c r="C37" s="49"/>
      <c r="D37" s="54"/>
      <c r="E37" s="54"/>
      <c r="F37" s="54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8"/>
    </row>
    <row r="38" spans="1:30" ht="18" customHeight="1" x14ac:dyDescent="0.25">
      <c r="A38" s="48"/>
      <c r="B38" s="49"/>
      <c r="C38" s="49"/>
      <c r="D38" s="54"/>
      <c r="E38" s="54"/>
      <c r="F38" s="54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8"/>
    </row>
    <row r="39" spans="1:30" ht="18" customHeight="1" x14ac:dyDescent="0.25">
      <c r="A39" s="48"/>
      <c r="B39" s="49"/>
      <c r="C39" s="49"/>
      <c r="D39" s="54"/>
      <c r="E39" s="54"/>
      <c r="F39" s="54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8"/>
    </row>
    <row r="40" spans="1:30" ht="18" customHeight="1" x14ac:dyDescent="0.25">
      <c r="A40" s="48"/>
      <c r="B40" s="49"/>
      <c r="C40" s="49"/>
      <c r="D40" s="54"/>
      <c r="E40" s="54"/>
      <c r="F40" s="54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8"/>
    </row>
    <row r="41" spans="1:30" ht="18" customHeight="1" x14ac:dyDescent="0.25">
      <c r="A41" s="48"/>
      <c r="B41" s="49"/>
      <c r="C41" s="49"/>
      <c r="D41" s="54"/>
      <c r="E41" s="54"/>
      <c r="F41" s="54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8"/>
    </row>
    <row r="42" spans="1:30" ht="18" customHeight="1" x14ac:dyDescent="0.25">
      <c r="A42" s="48"/>
      <c r="B42" s="49"/>
      <c r="C42" s="49"/>
      <c r="D42" s="54"/>
      <c r="E42" s="54"/>
      <c r="F42" s="54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8"/>
    </row>
    <row r="43" spans="1:30" ht="18" customHeight="1" x14ac:dyDescent="0.25">
      <c r="A43" s="48"/>
      <c r="B43" s="49"/>
      <c r="C43" s="49"/>
      <c r="D43" s="54"/>
      <c r="E43" s="54"/>
      <c r="F43" s="54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8"/>
    </row>
    <row r="44" spans="1:30" ht="18" customHeight="1" x14ac:dyDescent="0.25">
      <c r="A44" s="48"/>
      <c r="B44" s="49"/>
      <c r="C44" s="49"/>
      <c r="D44" s="54"/>
      <c r="E44" s="54"/>
      <c r="F44" s="54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8"/>
    </row>
    <row r="45" spans="1:30" ht="18" customHeight="1" x14ac:dyDescent="0.25">
      <c r="A45" s="48"/>
      <c r="B45" s="49"/>
      <c r="C45" s="49"/>
      <c r="D45" s="54"/>
      <c r="E45" s="54"/>
      <c r="F45" s="54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8"/>
    </row>
    <row r="46" spans="1:30" ht="18" customHeight="1" x14ac:dyDescent="0.25">
      <c r="A46" s="48"/>
      <c r="B46" s="49"/>
      <c r="C46" s="49"/>
      <c r="D46" s="54"/>
      <c r="E46" s="54"/>
      <c r="F46" s="54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8"/>
    </row>
    <row r="47" spans="1:30" ht="18" customHeight="1" x14ac:dyDescent="0.25">
      <c r="A47" s="48"/>
      <c r="B47" s="49"/>
      <c r="C47" s="49"/>
      <c r="D47" s="54"/>
      <c r="E47" s="54"/>
      <c r="F47" s="54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8"/>
    </row>
    <row r="48" spans="1:30" ht="18" customHeight="1" x14ac:dyDescent="0.25">
      <c r="A48" s="48"/>
      <c r="B48" s="49"/>
      <c r="C48" s="49"/>
      <c r="D48" s="54"/>
      <c r="E48" s="54"/>
      <c r="F48" s="54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8"/>
    </row>
    <row r="49" spans="1:29" ht="18" customHeight="1" x14ac:dyDescent="0.25">
      <c r="A49" s="48"/>
      <c r="B49" s="49"/>
      <c r="C49" s="49"/>
      <c r="D49" s="54"/>
      <c r="E49" s="54"/>
      <c r="F49" s="54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8"/>
    </row>
    <row r="50" spans="1:29" ht="18" customHeight="1" x14ac:dyDescent="0.25">
      <c r="A50" s="48"/>
      <c r="B50" s="49"/>
      <c r="C50" s="49"/>
      <c r="D50" s="54"/>
      <c r="E50" s="54"/>
      <c r="F50" s="54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8"/>
    </row>
    <row r="51" spans="1:29" ht="18" customHeight="1" x14ac:dyDescent="0.25">
      <c r="A51" s="48"/>
      <c r="B51" s="49"/>
      <c r="C51" s="49"/>
      <c r="D51" s="54"/>
      <c r="E51" s="54"/>
      <c r="F51" s="54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8"/>
    </row>
    <row r="52" spans="1:29" ht="18" customHeight="1" x14ac:dyDescent="0.25">
      <c r="A52" s="48"/>
      <c r="B52" s="49"/>
      <c r="C52" s="49"/>
      <c r="D52" s="54"/>
      <c r="E52" s="54"/>
      <c r="F52" s="54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8"/>
    </row>
    <row r="53" spans="1:29" ht="18" customHeight="1" x14ac:dyDescent="0.25">
      <c r="A53" s="48"/>
      <c r="B53" s="49"/>
      <c r="C53" s="49"/>
      <c r="D53" s="54"/>
      <c r="E53" s="54"/>
      <c r="F53" s="54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8"/>
    </row>
    <row r="54" spans="1:29" ht="18" customHeight="1" x14ac:dyDescent="0.25">
      <c r="A54" s="48"/>
      <c r="B54" s="49"/>
      <c r="C54" s="49"/>
      <c r="D54" s="54"/>
      <c r="E54" s="54"/>
      <c r="F54" s="54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8"/>
    </row>
    <row r="55" spans="1:29" ht="18" customHeight="1" x14ac:dyDescent="0.25">
      <c r="A55" s="48"/>
      <c r="B55" s="49"/>
      <c r="C55" s="49"/>
      <c r="D55" s="54"/>
      <c r="E55" s="54"/>
      <c r="F55" s="54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8"/>
    </row>
    <row r="56" spans="1:29" ht="18" customHeight="1" x14ac:dyDescent="0.25">
      <c r="A56" s="48"/>
      <c r="B56" s="49"/>
      <c r="C56" s="49"/>
      <c r="D56" s="54"/>
      <c r="E56" s="54"/>
      <c r="F56" s="54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8"/>
    </row>
    <row r="57" spans="1:29" ht="18" customHeight="1" x14ac:dyDescent="0.25">
      <c r="A57" s="48"/>
      <c r="B57" s="49"/>
      <c r="C57" s="49"/>
      <c r="D57" s="54"/>
      <c r="E57" s="54"/>
      <c r="F57" s="54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8"/>
    </row>
    <row r="58" spans="1:29" ht="18" customHeight="1" x14ac:dyDescent="0.25">
      <c r="A58" s="48"/>
      <c r="B58" s="49"/>
      <c r="C58" s="49"/>
      <c r="D58" s="54"/>
      <c r="E58" s="54"/>
      <c r="F58" s="54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8"/>
    </row>
    <row r="59" spans="1:29" ht="18" customHeight="1" x14ac:dyDescent="0.25">
      <c r="A59" s="48"/>
      <c r="B59" s="49"/>
      <c r="C59" s="49"/>
      <c r="D59" s="54"/>
      <c r="E59" s="54"/>
      <c r="F59" s="54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8"/>
    </row>
    <row r="60" spans="1:29" ht="18" customHeight="1" x14ac:dyDescent="0.25">
      <c r="A60" s="48"/>
      <c r="B60" s="49"/>
      <c r="C60" s="49"/>
      <c r="D60" s="54"/>
      <c r="E60" s="54"/>
      <c r="F60" s="54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8"/>
    </row>
    <row r="61" spans="1:29" ht="18" customHeight="1" x14ac:dyDescent="0.25">
      <c r="A61" s="48"/>
      <c r="B61" s="49"/>
      <c r="C61" s="49"/>
      <c r="D61" s="54"/>
      <c r="E61" s="54"/>
      <c r="F61" s="54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8"/>
    </row>
    <row r="62" spans="1:29" ht="18" customHeight="1" x14ac:dyDescent="0.25">
      <c r="A62" s="48"/>
      <c r="B62" s="49"/>
      <c r="C62" s="49"/>
      <c r="D62" s="54"/>
      <c r="E62" s="54"/>
      <c r="F62" s="54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8"/>
    </row>
    <row r="63" spans="1:29" ht="18" customHeight="1" x14ac:dyDescent="0.25">
      <c r="A63" s="48"/>
      <c r="B63" s="49"/>
      <c r="C63" s="49"/>
      <c r="D63" s="54"/>
      <c r="E63" s="54"/>
      <c r="F63" s="54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8"/>
    </row>
    <row r="64" spans="1:29" ht="18" customHeight="1" x14ac:dyDescent="0.25">
      <c r="A64" s="48"/>
      <c r="B64" s="49"/>
      <c r="C64" s="49"/>
      <c r="D64" s="54"/>
      <c r="E64" s="54"/>
      <c r="F64" s="54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8"/>
    </row>
    <row r="65" spans="1:29" ht="18" customHeight="1" x14ac:dyDescent="0.25">
      <c r="A65" s="48"/>
      <c r="B65" s="49"/>
      <c r="C65" s="49"/>
      <c r="D65" s="54"/>
      <c r="E65" s="54"/>
      <c r="F65" s="54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8"/>
    </row>
    <row r="66" spans="1:29" ht="18" customHeight="1" x14ac:dyDescent="0.25">
      <c r="A66" s="48"/>
      <c r="B66" s="49"/>
      <c r="C66" s="49"/>
      <c r="D66" s="54"/>
      <c r="E66" s="54"/>
      <c r="F66" s="54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8"/>
    </row>
    <row r="67" spans="1:29" ht="18" customHeight="1" x14ac:dyDescent="0.25">
      <c r="A67" s="48"/>
      <c r="B67" s="49"/>
      <c r="C67" s="49"/>
      <c r="D67" s="54"/>
      <c r="E67" s="54"/>
      <c r="F67" s="54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8"/>
    </row>
    <row r="68" spans="1:29" ht="18" customHeight="1" x14ac:dyDescent="0.25">
      <c r="A68" s="48"/>
      <c r="B68" s="49"/>
      <c r="C68" s="49"/>
      <c r="D68" s="54"/>
      <c r="E68" s="54"/>
      <c r="F68" s="54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8"/>
    </row>
    <row r="69" spans="1:29" ht="18" customHeight="1" x14ac:dyDescent="0.25">
      <c r="A69" s="48"/>
      <c r="B69" s="49"/>
      <c r="C69" s="49"/>
      <c r="D69" s="54"/>
      <c r="E69" s="54"/>
      <c r="F69" s="54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8"/>
    </row>
    <row r="70" spans="1:29" ht="18" customHeight="1" x14ac:dyDescent="0.25">
      <c r="A70" s="48"/>
      <c r="B70" s="49"/>
      <c r="C70" s="49"/>
      <c r="D70" s="54"/>
      <c r="E70" s="54"/>
      <c r="F70" s="54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8"/>
    </row>
    <row r="71" spans="1:29" ht="18" customHeight="1" x14ac:dyDescent="0.25">
      <c r="A71" s="48"/>
      <c r="B71" s="49"/>
      <c r="C71" s="49"/>
      <c r="D71" s="54"/>
      <c r="E71" s="54"/>
      <c r="F71" s="54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8"/>
    </row>
    <row r="72" spans="1:29" ht="18" customHeight="1" x14ac:dyDescent="0.25">
      <c r="A72" s="48"/>
      <c r="B72" s="49"/>
      <c r="C72" s="49"/>
      <c r="D72" s="54"/>
      <c r="E72" s="54"/>
      <c r="F72" s="54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8"/>
    </row>
    <row r="73" spans="1:29" ht="18" customHeight="1" x14ac:dyDescent="0.25">
      <c r="A73" s="48"/>
      <c r="B73" s="49"/>
      <c r="C73" s="49"/>
      <c r="D73" s="54"/>
      <c r="E73" s="54"/>
      <c r="F73" s="54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8"/>
    </row>
    <row r="74" spans="1:29" ht="18" customHeight="1" x14ac:dyDescent="0.25">
      <c r="A74" s="48"/>
      <c r="B74" s="49"/>
      <c r="C74" s="49"/>
      <c r="D74" s="54"/>
      <c r="E74" s="54"/>
      <c r="F74" s="54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8"/>
    </row>
    <row r="75" spans="1:29" ht="18" customHeight="1" x14ac:dyDescent="0.25">
      <c r="A75" s="48"/>
      <c r="B75" s="49"/>
      <c r="C75" s="49"/>
      <c r="D75" s="54"/>
      <c r="E75" s="54"/>
      <c r="F75" s="54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8"/>
    </row>
    <row r="76" spans="1:29" ht="18" customHeight="1" x14ac:dyDescent="0.25">
      <c r="A76" s="48"/>
      <c r="B76" s="49"/>
      <c r="C76" s="49"/>
      <c r="D76" s="54"/>
      <c r="E76" s="54"/>
      <c r="F76" s="54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8"/>
    </row>
    <row r="77" spans="1:29" ht="18" customHeight="1" x14ac:dyDescent="0.25">
      <c r="A77" s="48"/>
      <c r="B77" s="49"/>
      <c r="C77" s="49"/>
      <c r="D77" s="54"/>
      <c r="E77" s="54"/>
      <c r="F77" s="54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8"/>
    </row>
    <row r="78" spans="1:29" ht="18" customHeight="1" x14ac:dyDescent="0.25">
      <c r="A78" s="48"/>
      <c r="B78" s="49"/>
      <c r="C78" s="49"/>
      <c r="D78" s="54"/>
      <c r="E78" s="54"/>
      <c r="F78" s="54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8"/>
    </row>
    <row r="79" spans="1:29" ht="18" customHeight="1" x14ac:dyDescent="0.25">
      <c r="A79" s="48"/>
      <c r="B79" s="49"/>
      <c r="C79" s="49"/>
      <c r="D79" s="54"/>
      <c r="E79" s="54"/>
      <c r="F79" s="54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8"/>
    </row>
  </sheetData>
  <sheetProtection selectLockedCells="1"/>
  <mergeCells count="2">
    <mergeCell ref="D30:D31"/>
    <mergeCell ref="P28:R29"/>
  </mergeCells>
  <dataValidations disablePrompts="1" count="1">
    <dataValidation type="list" allowBlank="1" showInputMessage="1" showErrorMessage="1" sqref="E22" xr:uid="{00000000-0002-0000-0000-000000000000}">
      <formula1>"CS, SS"</formula1>
    </dataValidation>
  </dataValidations>
  <pageMargins left="0.7" right="0.7" top="0.75" bottom="0.75" header="0.3" footer="0.3"/>
  <pageSetup paperSize="8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00000000-0002-0000-0000-000001000000}">
          <x14:formula1>
            <xm:f>'STD PIPE WALL THICKNESS'!$C$6:$T$6</xm:f>
          </x14:formula1>
          <xm:sqref>E20</xm:sqref>
        </x14:dataValidation>
        <x14:dataValidation type="list" allowBlank="1" showInputMessage="1" showErrorMessage="1" xr:uid="{00000000-0002-0000-0000-000002000000}">
          <x14:formula1>
            <xm:f>'STD PIPE WALL THICKNESS'!$A$7:$A$36</xm:f>
          </x14:formula1>
          <xm:sqref>E18</xm:sqref>
        </x14:dataValidation>
        <x14:dataValidation type="list" allowBlank="1" showInputMessage="1" showErrorMessage="1" xr:uid="{00000000-0002-0000-0000-000003000000}">
          <x14:formula1>
            <xm:f>'MATERIAL  DATA'!$M$3:$M$118</xm:f>
          </x14:formula1>
          <xm:sqref>E7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90"/>
  <sheetViews>
    <sheetView topLeftCell="A10" workbookViewId="0">
      <selection activeCell="E64" sqref="E64"/>
    </sheetView>
  </sheetViews>
  <sheetFormatPr defaultRowHeight="15" x14ac:dyDescent="0.25"/>
  <cols>
    <col min="1" max="1" width="13.85546875" style="113" bestFit="1" customWidth="1"/>
    <col min="2" max="2" width="14.85546875" style="113" customWidth="1"/>
    <col min="3" max="3" width="15" style="113" customWidth="1"/>
    <col min="4" max="4" width="9.85546875" style="113" bestFit="1" customWidth="1"/>
    <col min="5" max="5" width="8.5703125" style="113" bestFit="1" customWidth="1"/>
    <col min="6" max="6" width="13.85546875" style="1" bestFit="1" customWidth="1"/>
    <col min="7" max="7" width="15.140625" style="113" bestFit="1" customWidth="1"/>
    <col min="8" max="12" width="13.7109375" style="113" customWidth="1"/>
    <col min="13" max="16384" width="9.140625" style="1"/>
  </cols>
  <sheetData>
    <row r="1" spans="1:13" x14ac:dyDescent="0.25">
      <c r="C1" s="113" t="s">
        <v>61</v>
      </c>
      <c r="I1" s="113" t="s">
        <v>68</v>
      </c>
      <c r="M1" s="1" t="s">
        <v>69</v>
      </c>
    </row>
    <row r="2" spans="1:13" x14ac:dyDescent="0.25">
      <c r="A2" s="113" t="s">
        <v>66</v>
      </c>
      <c r="B2" s="114">
        <v>203400000</v>
      </c>
      <c r="C2" s="113" t="s">
        <v>63</v>
      </c>
      <c r="G2" s="113" t="s">
        <v>66</v>
      </c>
      <c r="H2" s="114">
        <v>195100000</v>
      </c>
      <c r="I2" s="113" t="s">
        <v>63</v>
      </c>
    </row>
    <row r="3" spans="1:13" x14ac:dyDescent="0.25">
      <c r="A3" s="113" t="s">
        <v>2</v>
      </c>
      <c r="B3" s="113" t="s">
        <v>3</v>
      </c>
      <c r="C3" s="113" t="s">
        <v>64</v>
      </c>
      <c r="D3" s="113" t="s">
        <v>62</v>
      </c>
      <c r="E3" s="113" t="s">
        <v>65</v>
      </c>
      <c r="G3" s="113" t="s">
        <v>2</v>
      </c>
      <c r="H3" s="113" t="s">
        <v>3</v>
      </c>
      <c r="I3" s="113" t="s">
        <v>64</v>
      </c>
      <c r="J3" s="113" t="s">
        <v>62</v>
      </c>
      <c r="K3" s="113" t="s">
        <v>65</v>
      </c>
      <c r="M3" s="1">
        <v>-30</v>
      </c>
    </row>
    <row r="4" spans="1:13" x14ac:dyDescent="0.25">
      <c r="A4" s="113" t="s">
        <v>4</v>
      </c>
      <c r="B4" s="113" t="s">
        <v>5</v>
      </c>
      <c r="C4" s="113" t="s">
        <v>63</v>
      </c>
      <c r="D4" s="113" t="s">
        <v>63</v>
      </c>
      <c r="E4" s="113" t="s">
        <v>63</v>
      </c>
      <c r="G4" s="113" t="s">
        <v>4</v>
      </c>
      <c r="H4" s="113" t="s">
        <v>5</v>
      </c>
      <c r="I4" s="113" t="s">
        <v>63</v>
      </c>
      <c r="J4" s="113" t="s">
        <v>63</v>
      </c>
      <c r="K4" s="113" t="s">
        <v>63</v>
      </c>
      <c r="M4" s="1">
        <f>M3+1</f>
        <v>-29</v>
      </c>
    </row>
    <row r="5" spans="1:13" x14ac:dyDescent="0.25">
      <c r="A5" s="113">
        <v>-198</v>
      </c>
      <c r="B5" s="115">
        <v>8.9993000000000004E-6</v>
      </c>
      <c r="C5" s="113">
        <v>137892</v>
      </c>
      <c r="D5" s="114">
        <v>216490000</v>
      </c>
      <c r="E5" s="113">
        <v>241311</v>
      </c>
      <c r="G5" s="113">
        <v>-198</v>
      </c>
      <c r="H5" s="114">
        <v>1.4669E-5</v>
      </c>
      <c r="I5" s="113">
        <v>137892</v>
      </c>
      <c r="J5" s="114">
        <v>208910000</v>
      </c>
      <c r="K5" s="113">
        <v>206838</v>
      </c>
      <c r="M5" s="1">
        <f t="shared" ref="M5:M68" si="0">M4+1</f>
        <v>-28</v>
      </c>
    </row>
    <row r="6" spans="1:13" x14ac:dyDescent="0.25">
      <c r="A6" s="113">
        <v>-129</v>
      </c>
      <c r="B6" s="115">
        <v>9.6291999999999992E-6</v>
      </c>
      <c r="C6" s="113">
        <v>137892</v>
      </c>
      <c r="D6" s="114">
        <v>212350000</v>
      </c>
      <c r="E6" s="113">
        <v>241311</v>
      </c>
      <c r="G6" s="113">
        <v>-129</v>
      </c>
      <c r="H6" s="114">
        <v>1.5245000000000001E-5</v>
      </c>
      <c r="I6" s="113">
        <v>137892</v>
      </c>
      <c r="J6" s="114">
        <v>204770000</v>
      </c>
      <c r="K6" s="113">
        <v>206838</v>
      </c>
      <c r="M6" s="1">
        <f t="shared" si="0"/>
        <v>-27</v>
      </c>
    </row>
    <row r="7" spans="1:13" x14ac:dyDescent="0.25">
      <c r="A7" s="113">
        <v>-101</v>
      </c>
      <c r="B7" s="115">
        <v>9.8992E-6</v>
      </c>
      <c r="C7" s="113">
        <v>137892</v>
      </c>
      <c r="D7" s="114">
        <v>208220000</v>
      </c>
      <c r="E7" s="113">
        <v>241311</v>
      </c>
      <c r="G7" s="113">
        <v>-73</v>
      </c>
      <c r="H7" s="114">
        <v>1.5749000000000001E-5</v>
      </c>
      <c r="I7" s="113">
        <v>137892</v>
      </c>
      <c r="J7" s="114">
        <v>199940000</v>
      </c>
      <c r="K7" s="113">
        <v>206838</v>
      </c>
      <c r="M7" s="1">
        <f t="shared" si="0"/>
        <v>-26</v>
      </c>
    </row>
    <row r="8" spans="1:13" x14ac:dyDescent="0.25">
      <c r="A8" s="113">
        <v>-46</v>
      </c>
      <c r="B8" s="115">
        <v>1.0438999999999999E-5</v>
      </c>
      <c r="C8" s="113">
        <v>137892</v>
      </c>
      <c r="D8" s="114">
        <v>206150000</v>
      </c>
      <c r="E8" s="113">
        <v>241311</v>
      </c>
      <c r="G8" s="113">
        <v>-46</v>
      </c>
      <c r="H8" s="114">
        <v>1.6019E-5</v>
      </c>
      <c r="I8" s="113">
        <v>137892</v>
      </c>
      <c r="J8" s="114">
        <v>197880000</v>
      </c>
      <c r="K8" s="113">
        <v>206838</v>
      </c>
      <c r="M8" s="1">
        <f t="shared" si="0"/>
        <v>-25</v>
      </c>
    </row>
    <row r="9" spans="1:13" x14ac:dyDescent="0.25">
      <c r="A9" s="113">
        <v>21</v>
      </c>
      <c r="B9" s="115">
        <v>1.0925E-5</v>
      </c>
      <c r="C9" s="113">
        <v>137892</v>
      </c>
      <c r="D9" s="114">
        <v>203390000</v>
      </c>
      <c r="E9" s="113">
        <v>241311</v>
      </c>
      <c r="G9" s="113">
        <v>21</v>
      </c>
      <c r="H9" s="114">
        <v>1.6396999999999999E-5</v>
      </c>
      <c r="I9" s="113">
        <v>137892</v>
      </c>
      <c r="J9" s="114">
        <v>195120000</v>
      </c>
      <c r="K9" s="113">
        <v>206838</v>
      </c>
      <c r="M9" s="1">
        <f t="shared" si="0"/>
        <v>-24</v>
      </c>
    </row>
    <row r="10" spans="1:13" x14ac:dyDescent="0.25">
      <c r="A10" s="113">
        <v>38</v>
      </c>
      <c r="B10" s="115">
        <v>1.1032999999999999E-5</v>
      </c>
      <c r="C10" s="113">
        <v>137892</v>
      </c>
      <c r="D10" s="114">
        <v>202700000</v>
      </c>
      <c r="E10" s="113">
        <v>241311</v>
      </c>
      <c r="G10" s="113">
        <v>38</v>
      </c>
      <c r="H10" s="114">
        <v>1.6487E-5</v>
      </c>
      <c r="I10" s="113">
        <v>137892</v>
      </c>
      <c r="J10" s="114">
        <v>193740000</v>
      </c>
      <c r="K10" s="113">
        <v>206838</v>
      </c>
      <c r="M10" s="1">
        <f t="shared" si="0"/>
        <v>-23</v>
      </c>
    </row>
    <row r="11" spans="1:13" x14ac:dyDescent="0.25">
      <c r="A11" s="113">
        <v>93</v>
      </c>
      <c r="B11" s="115">
        <v>1.1483E-5</v>
      </c>
      <c r="C11" s="113">
        <v>137892</v>
      </c>
      <c r="D11" s="114">
        <v>198560000</v>
      </c>
      <c r="E11" s="113">
        <v>221317</v>
      </c>
      <c r="G11" s="113">
        <v>93</v>
      </c>
      <c r="H11" s="114">
        <v>1.6810999999999999E-5</v>
      </c>
      <c r="I11" s="113">
        <v>137892</v>
      </c>
      <c r="J11" s="114">
        <v>190290000</v>
      </c>
      <c r="K11" s="113">
        <v>172365</v>
      </c>
      <c r="M11" s="1">
        <f t="shared" si="0"/>
        <v>-22</v>
      </c>
    </row>
    <row r="12" spans="1:13" x14ac:dyDescent="0.25">
      <c r="A12" s="113">
        <v>149</v>
      </c>
      <c r="B12" s="115">
        <v>1.1878999999999999E-5</v>
      </c>
      <c r="C12" s="113">
        <v>137892</v>
      </c>
      <c r="D12" s="114">
        <v>195120000</v>
      </c>
      <c r="E12" s="113">
        <v>213733</v>
      </c>
      <c r="G12" s="113">
        <v>149</v>
      </c>
      <c r="H12" s="114">
        <v>1.7045E-5</v>
      </c>
      <c r="I12" s="113">
        <v>137892</v>
      </c>
      <c r="J12" s="114">
        <v>186150000</v>
      </c>
      <c r="K12" s="113">
        <v>154439</v>
      </c>
      <c r="M12" s="1">
        <f t="shared" si="0"/>
        <v>-21</v>
      </c>
    </row>
    <row r="13" spans="1:13" x14ac:dyDescent="0.25">
      <c r="A13" s="113">
        <v>204</v>
      </c>
      <c r="B13" s="115">
        <v>1.2275E-5</v>
      </c>
      <c r="C13" s="113">
        <v>137203</v>
      </c>
      <c r="D13" s="114">
        <v>190980000</v>
      </c>
      <c r="E13" s="113">
        <v>206149</v>
      </c>
      <c r="G13" s="113">
        <v>204</v>
      </c>
      <c r="H13" s="114">
        <v>1.7261E-5</v>
      </c>
      <c r="I13" s="113">
        <v>128240</v>
      </c>
      <c r="J13" s="114">
        <v>182710000</v>
      </c>
      <c r="K13" s="113">
        <v>142718</v>
      </c>
      <c r="M13" s="1">
        <f t="shared" si="0"/>
        <v>-20</v>
      </c>
    </row>
    <row r="14" spans="1:13" x14ac:dyDescent="0.25">
      <c r="A14" s="113">
        <v>260</v>
      </c>
      <c r="B14" s="115">
        <v>1.2635E-5</v>
      </c>
      <c r="C14" s="113">
        <v>130997</v>
      </c>
      <c r="D14" s="114">
        <v>188220000</v>
      </c>
      <c r="E14" s="113">
        <v>196496</v>
      </c>
      <c r="G14" s="113">
        <v>260</v>
      </c>
      <c r="H14" s="114">
        <v>1.7459E-5</v>
      </c>
      <c r="I14" s="113">
        <v>120656</v>
      </c>
      <c r="J14" s="114">
        <v>177880000</v>
      </c>
      <c r="K14" s="113">
        <v>133755</v>
      </c>
      <c r="M14" s="1">
        <f t="shared" si="0"/>
        <v>-19</v>
      </c>
    </row>
    <row r="15" spans="1:13" x14ac:dyDescent="0.25">
      <c r="A15" s="113">
        <v>316</v>
      </c>
      <c r="B15" s="115">
        <v>1.3013000000000001E-5</v>
      </c>
      <c r="C15" s="113">
        <v>123413</v>
      </c>
      <c r="D15" s="114">
        <v>184090000</v>
      </c>
      <c r="E15" s="113">
        <v>184775</v>
      </c>
      <c r="G15" s="113">
        <v>316</v>
      </c>
      <c r="H15" s="114">
        <v>1.7674999999999999E-5</v>
      </c>
      <c r="I15" s="113">
        <v>114450</v>
      </c>
      <c r="J15" s="114">
        <v>174430000</v>
      </c>
      <c r="K15" s="113">
        <v>126861</v>
      </c>
      <c r="M15" s="1">
        <f t="shared" si="0"/>
        <v>-18</v>
      </c>
    </row>
    <row r="16" spans="1:13" x14ac:dyDescent="0.25">
      <c r="A16" s="113">
        <v>343</v>
      </c>
      <c r="B16" s="115">
        <v>1.3193000000000001E-5</v>
      </c>
      <c r="C16" s="113">
        <v>119277</v>
      </c>
      <c r="D16" s="114">
        <v>179950000</v>
      </c>
      <c r="E16" s="113">
        <v>178570</v>
      </c>
      <c r="G16" s="113">
        <v>343</v>
      </c>
      <c r="H16" s="114">
        <v>1.7765E-5</v>
      </c>
      <c r="I16" s="113">
        <v>111693</v>
      </c>
      <c r="J16" s="114">
        <v>172360000</v>
      </c>
      <c r="K16" s="113">
        <v>124103</v>
      </c>
      <c r="M16" s="1">
        <f t="shared" si="0"/>
        <v>-17</v>
      </c>
    </row>
    <row r="17" spans="1:13" x14ac:dyDescent="0.25">
      <c r="A17" s="113">
        <v>371</v>
      </c>
      <c r="B17" s="115">
        <v>1.3390999999999999E-5</v>
      </c>
      <c r="C17" s="113">
        <v>115140</v>
      </c>
      <c r="D17" s="114">
        <v>175810000</v>
      </c>
      <c r="E17" s="113">
        <v>173054</v>
      </c>
      <c r="G17" s="113">
        <v>371</v>
      </c>
      <c r="H17" s="114">
        <v>1.7855000000000001E-5</v>
      </c>
      <c r="I17" s="113">
        <v>108935</v>
      </c>
      <c r="J17" s="114">
        <v>170990000</v>
      </c>
      <c r="K17" s="113">
        <v>121345</v>
      </c>
      <c r="M17" s="1">
        <f t="shared" si="0"/>
        <v>-16</v>
      </c>
    </row>
    <row r="18" spans="1:13" x14ac:dyDescent="0.25">
      <c r="A18" s="113">
        <v>399</v>
      </c>
      <c r="B18" s="115">
        <v>1.3570999999999999E-5</v>
      </c>
      <c r="C18" s="113">
        <v>95835</v>
      </c>
      <c r="D18" s="114">
        <v>170990000</v>
      </c>
      <c r="E18" s="113">
        <v>166849</v>
      </c>
      <c r="G18" s="113">
        <v>399</v>
      </c>
      <c r="H18" s="114">
        <v>1.7980999999999999E-5</v>
      </c>
      <c r="I18" s="113">
        <v>106866</v>
      </c>
      <c r="J18" s="114">
        <v>168230000</v>
      </c>
      <c r="K18" s="113">
        <v>118587</v>
      </c>
      <c r="M18" s="1">
        <f t="shared" si="0"/>
        <v>-15</v>
      </c>
    </row>
    <row r="19" spans="1:13" x14ac:dyDescent="0.25">
      <c r="A19" s="113">
        <v>427</v>
      </c>
      <c r="B19" s="115">
        <v>1.3769E-5</v>
      </c>
      <c r="C19" s="113">
        <v>78598</v>
      </c>
      <c r="D19" s="114">
        <v>166850000</v>
      </c>
      <c r="E19" s="113">
        <v>162023</v>
      </c>
      <c r="G19" s="113">
        <v>427</v>
      </c>
      <c r="H19" s="114">
        <v>1.8088999999999999E-5</v>
      </c>
      <c r="I19" s="113">
        <v>104798</v>
      </c>
      <c r="J19" s="114">
        <v>166160000</v>
      </c>
      <c r="K19" s="113">
        <v>116519</v>
      </c>
      <c r="M19" s="1">
        <f t="shared" si="0"/>
        <v>-14</v>
      </c>
    </row>
    <row r="20" spans="1:13" x14ac:dyDescent="0.25">
      <c r="A20" s="113">
        <v>454</v>
      </c>
      <c r="B20" s="115">
        <v>1.3949E-5</v>
      </c>
      <c r="C20" s="113">
        <v>59983</v>
      </c>
      <c r="D20" s="114">
        <v>160640000</v>
      </c>
      <c r="E20" s="113">
        <v>157197</v>
      </c>
      <c r="G20" s="113">
        <v>454</v>
      </c>
      <c r="H20" s="114">
        <v>1.8196999999999999E-5</v>
      </c>
      <c r="I20" s="113">
        <v>102730</v>
      </c>
      <c r="J20" s="114">
        <v>164090000</v>
      </c>
      <c r="K20" s="113">
        <v>113761</v>
      </c>
      <c r="M20" s="1">
        <f t="shared" si="0"/>
        <v>-13</v>
      </c>
    </row>
    <row r="21" spans="1:13" x14ac:dyDescent="0.25">
      <c r="A21" s="113">
        <v>482</v>
      </c>
      <c r="B21" s="115">
        <v>1.4110999999999999E-5</v>
      </c>
      <c r="C21" s="113">
        <v>40678</v>
      </c>
      <c r="D21" s="114">
        <v>154440000</v>
      </c>
      <c r="E21" s="113">
        <v>152371</v>
      </c>
      <c r="G21" s="113">
        <v>482</v>
      </c>
      <c r="H21" s="114">
        <v>1.8287E-5</v>
      </c>
      <c r="I21" s="113">
        <v>100661</v>
      </c>
      <c r="J21" s="114">
        <v>162020000</v>
      </c>
      <c r="K21" s="113">
        <v>111693</v>
      </c>
      <c r="M21" s="1">
        <f t="shared" si="0"/>
        <v>-12</v>
      </c>
    </row>
    <row r="22" spans="1:13" x14ac:dyDescent="0.25">
      <c r="A22" s="113">
        <v>510</v>
      </c>
      <c r="B22" s="115">
        <v>1.4236999999999999E-5</v>
      </c>
      <c r="C22" s="113">
        <v>27578</v>
      </c>
      <c r="D22" s="114">
        <v>147540000</v>
      </c>
      <c r="E22" s="113">
        <v>148234</v>
      </c>
      <c r="G22" s="113">
        <v>510</v>
      </c>
      <c r="H22" s="114">
        <v>1.8413000000000001E-5</v>
      </c>
      <c r="I22" s="113">
        <v>98593</v>
      </c>
      <c r="J22" s="114">
        <v>159270000</v>
      </c>
      <c r="K22" s="113">
        <v>109624</v>
      </c>
      <c r="M22" s="1">
        <f t="shared" si="0"/>
        <v>-11</v>
      </c>
    </row>
    <row r="23" spans="1:13" x14ac:dyDescent="0.25">
      <c r="A23" s="113">
        <v>538</v>
      </c>
      <c r="B23" s="115">
        <v>1.4345000000000001E-5</v>
      </c>
      <c r="C23" s="113">
        <v>17236</v>
      </c>
      <c r="D23" s="114">
        <v>140650000</v>
      </c>
      <c r="E23" s="113">
        <v>143408</v>
      </c>
      <c r="G23" s="113">
        <v>538</v>
      </c>
      <c r="H23" s="114">
        <v>1.8521000000000001E-5</v>
      </c>
      <c r="I23" s="113">
        <v>96524</v>
      </c>
      <c r="J23" s="114">
        <v>157200000</v>
      </c>
      <c r="K23" s="113">
        <v>106866</v>
      </c>
      <c r="M23" s="1">
        <f t="shared" si="0"/>
        <v>-10</v>
      </c>
    </row>
    <row r="24" spans="1:13" x14ac:dyDescent="0.25">
      <c r="A24" s="113">
        <v>566</v>
      </c>
      <c r="B24" s="115">
        <v>1.4489E-5</v>
      </c>
      <c r="C24" s="113">
        <v>11031</v>
      </c>
      <c r="D24" s="114">
        <v>132380000</v>
      </c>
      <c r="G24" s="113">
        <v>566</v>
      </c>
      <c r="H24" s="114">
        <v>1.8610999999999999E-5</v>
      </c>
      <c r="I24" s="113">
        <v>85493</v>
      </c>
      <c r="J24" s="114">
        <v>154440000</v>
      </c>
      <c r="M24" s="1">
        <f t="shared" si="0"/>
        <v>-9</v>
      </c>
    </row>
    <row r="25" spans="1:13" x14ac:dyDescent="0.25">
      <c r="A25" s="113">
        <v>593</v>
      </c>
      <c r="B25" s="115">
        <v>1.4615E-5</v>
      </c>
      <c r="C25" s="113">
        <v>6895</v>
      </c>
      <c r="D25" s="114">
        <v>124100000</v>
      </c>
      <c r="G25" s="113">
        <v>593</v>
      </c>
      <c r="H25" s="114">
        <v>1.8700999999999999E-5</v>
      </c>
      <c r="I25" s="113">
        <v>67567</v>
      </c>
      <c r="J25" s="114">
        <v>152370000</v>
      </c>
      <c r="M25" s="1">
        <f t="shared" si="0"/>
        <v>-8</v>
      </c>
    </row>
    <row r="26" spans="1:13" x14ac:dyDescent="0.25">
      <c r="A26" s="113">
        <v>621</v>
      </c>
      <c r="B26" s="115">
        <v>1.4687E-5</v>
      </c>
      <c r="G26" s="113">
        <v>621</v>
      </c>
      <c r="H26" s="114">
        <v>1.8790000000000001E-5</v>
      </c>
      <c r="I26" s="113">
        <v>53088</v>
      </c>
      <c r="J26" s="114">
        <v>148920000</v>
      </c>
      <c r="M26" s="1">
        <f t="shared" si="0"/>
        <v>-7</v>
      </c>
    </row>
    <row r="27" spans="1:13" x14ac:dyDescent="0.25">
      <c r="A27" s="113">
        <v>649</v>
      </c>
      <c r="B27" s="115">
        <v>1.4741E-5</v>
      </c>
      <c r="G27" s="113">
        <v>649</v>
      </c>
      <c r="H27" s="114">
        <v>1.8862E-5</v>
      </c>
      <c r="I27" s="113">
        <v>42057</v>
      </c>
      <c r="J27" s="114">
        <v>146170000</v>
      </c>
      <c r="M27" s="1">
        <f t="shared" si="0"/>
        <v>-6</v>
      </c>
    </row>
    <row r="28" spans="1:13" x14ac:dyDescent="0.25">
      <c r="A28" s="113">
        <v>677</v>
      </c>
      <c r="B28" s="115">
        <v>1.4831000000000001E-5</v>
      </c>
      <c r="G28" s="113">
        <v>677</v>
      </c>
      <c r="H28" s="114">
        <v>1.8916E-5</v>
      </c>
      <c r="I28" s="113">
        <v>32405</v>
      </c>
      <c r="J28" s="114">
        <v>142720000</v>
      </c>
      <c r="M28" s="1">
        <f t="shared" si="0"/>
        <v>-5</v>
      </c>
    </row>
    <row r="29" spans="1:13" x14ac:dyDescent="0.25">
      <c r="A29" s="113">
        <v>705</v>
      </c>
      <c r="B29" s="115">
        <v>1.4902999999999999E-5</v>
      </c>
      <c r="G29" s="113">
        <v>705</v>
      </c>
      <c r="H29" s="114">
        <v>1.897E-5</v>
      </c>
      <c r="I29" s="113">
        <v>25510</v>
      </c>
      <c r="J29" s="114">
        <v>139270000</v>
      </c>
      <c r="M29" s="1">
        <f t="shared" si="0"/>
        <v>-4</v>
      </c>
    </row>
    <row r="30" spans="1:13" x14ac:dyDescent="0.25">
      <c r="A30" s="113">
        <v>732</v>
      </c>
      <c r="B30" s="115">
        <v>1.4975E-5</v>
      </c>
      <c r="G30" s="113">
        <v>732</v>
      </c>
      <c r="H30" s="114">
        <v>1.9023999999999999E-5</v>
      </c>
      <c r="I30" s="113">
        <v>19994</v>
      </c>
      <c r="J30" s="114">
        <v>135820000</v>
      </c>
      <c r="M30" s="1">
        <f t="shared" si="0"/>
        <v>-3</v>
      </c>
    </row>
    <row r="31" spans="1:13" x14ac:dyDescent="0.25">
      <c r="A31" s="113">
        <v>760</v>
      </c>
      <c r="B31" s="115">
        <v>1.5047E-5</v>
      </c>
      <c r="G31" s="113">
        <v>760</v>
      </c>
      <c r="H31" s="114">
        <v>1.9077999999999999E-5</v>
      </c>
      <c r="I31" s="113">
        <v>15858</v>
      </c>
      <c r="J31" s="114">
        <v>132380000</v>
      </c>
      <c r="M31" s="1">
        <f t="shared" si="0"/>
        <v>-2</v>
      </c>
    </row>
    <row r="32" spans="1:13" x14ac:dyDescent="0.25">
      <c r="C32" s="114"/>
      <c r="G32" s="113">
        <v>788</v>
      </c>
      <c r="H32" s="114">
        <v>1.9222E-5</v>
      </c>
      <c r="I32" s="113">
        <v>12410</v>
      </c>
      <c r="J32" s="114">
        <v>128240000</v>
      </c>
      <c r="M32" s="1">
        <f t="shared" si="0"/>
        <v>-1</v>
      </c>
    </row>
    <row r="33" spans="1:13" x14ac:dyDescent="0.25">
      <c r="C33" s="115"/>
      <c r="G33" s="113">
        <v>816</v>
      </c>
      <c r="H33" s="114">
        <v>1.9383999999999999E-5</v>
      </c>
      <c r="I33" s="113">
        <v>9652</v>
      </c>
      <c r="J33" s="114">
        <v>124790000</v>
      </c>
      <c r="M33" s="1">
        <f t="shared" si="0"/>
        <v>0</v>
      </c>
    </row>
    <row r="34" spans="1:13" x14ac:dyDescent="0.25">
      <c r="M34" s="1">
        <f t="shared" si="0"/>
        <v>1</v>
      </c>
    </row>
    <row r="35" spans="1:13" x14ac:dyDescent="0.25">
      <c r="C35" s="113" t="s">
        <v>75</v>
      </c>
      <c r="M35" s="1">
        <f t="shared" si="0"/>
        <v>2</v>
      </c>
    </row>
    <row r="36" spans="1:13" x14ac:dyDescent="0.25">
      <c r="A36" s="113" t="s">
        <v>67</v>
      </c>
      <c r="B36" s="113">
        <f>'BENDING LEG  CHECK'!E24</f>
        <v>240</v>
      </c>
      <c r="C36" s="115">
        <f>IF(C38=C39,C38,C38+(C39-C38)/(B39-B38)*(B36-B38))</f>
        <v>1.2506428571428571E-5</v>
      </c>
      <c r="G36" s="113" t="s">
        <v>67</v>
      </c>
      <c r="H36" s="113">
        <f>'BENDING LEG  CHECK'!E24</f>
        <v>240</v>
      </c>
      <c r="I36" s="115">
        <f>IF(I38=I39,I38,I38+(I39-I38)/(H39-H38)*(H36-H38))</f>
        <v>1.7388285714285713E-5</v>
      </c>
      <c r="M36" s="1">
        <f t="shared" si="0"/>
        <v>3</v>
      </c>
    </row>
    <row r="37" spans="1:13" x14ac:dyDescent="0.25">
      <c r="C37" s="115"/>
      <c r="I37" s="115"/>
      <c r="M37" s="1">
        <f t="shared" si="0"/>
        <v>4</v>
      </c>
    </row>
    <row r="38" spans="1:13" x14ac:dyDescent="0.25">
      <c r="B38" s="113">
        <f>VLOOKUP(B36,A3:B31,1,TRUE)</f>
        <v>204</v>
      </c>
      <c r="C38" s="115">
        <f>VLOOKUP(B38,A3:B31,2,FALSE)</f>
        <v>1.2275E-5</v>
      </c>
      <c r="H38" s="113">
        <f>VLOOKUP(H36,G3:H33,1,TRUE)</f>
        <v>204</v>
      </c>
      <c r="I38" s="115">
        <f>VLOOKUP(H38,G3:H33,2,FALSE)</f>
        <v>1.7261E-5</v>
      </c>
      <c r="M38" s="1">
        <f t="shared" si="0"/>
        <v>5</v>
      </c>
    </row>
    <row r="39" spans="1:13" x14ac:dyDescent="0.25">
      <c r="B39" s="113">
        <f>SMALL(A5:A31,COUNTIF(A5:A31,"&lt;"&amp;B36)+1)</f>
        <v>260</v>
      </c>
      <c r="C39" s="115">
        <f>VLOOKUP(B39,A3:B31,2,FALSE)</f>
        <v>1.2635E-5</v>
      </c>
      <c r="H39" s="113">
        <f>SMALL(G5:G33,COUNTIF(G5:G33,"&lt;"&amp;H36)+1)</f>
        <v>260</v>
      </c>
      <c r="I39" s="115">
        <f>VLOOKUP(H39,G3:H33,2,FALSE)</f>
        <v>1.7459E-5</v>
      </c>
      <c r="M39" s="1">
        <f t="shared" si="0"/>
        <v>6</v>
      </c>
    </row>
    <row r="40" spans="1:13" x14ac:dyDescent="0.25">
      <c r="C40" s="114"/>
      <c r="M40" s="1">
        <f t="shared" si="0"/>
        <v>7</v>
      </c>
    </row>
    <row r="41" spans="1:13" x14ac:dyDescent="0.25">
      <c r="C41" s="114"/>
      <c r="M41" s="1">
        <f t="shared" si="0"/>
        <v>8</v>
      </c>
    </row>
    <row r="42" spans="1:13" x14ac:dyDescent="0.25">
      <c r="C42" s="114"/>
      <c r="M42" s="1">
        <f t="shared" si="0"/>
        <v>9</v>
      </c>
    </row>
    <row r="43" spans="1:13" x14ac:dyDescent="0.25">
      <c r="C43" s="113" t="s">
        <v>75</v>
      </c>
      <c r="M43" s="1">
        <f t="shared" si="0"/>
        <v>10</v>
      </c>
    </row>
    <row r="44" spans="1:13" x14ac:dyDescent="0.25">
      <c r="A44" s="113" t="s">
        <v>67</v>
      </c>
      <c r="B44" s="113">
        <f>'BENDING LEG  CHECK'!E24</f>
        <v>240</v>
      </c>
      <c r="C44" s="115">
        <f>IF(C46=C47,C46,C46+(C47-C46)/(B47-B46)*(B44-B46))</f>
        <v>133213.42857142858</v>
      </c>
      <c r="G44" s="113" t="s">
        <v>67</v>
      </c>
      <c r="H44" s="113">
        <f>'BENDING LEG  CHECK'!E24</f>
        <v>240</v>
      </c>
      <c r="I44" s="115">
        <f>IF(I46=I47,I46,I46+(I47-I46)/(H47-H46)*(H44-H46))</f>
        <v>123364.57142857143</v>
      </c>
      <c r="M44" s="1">
        <f t="shared" si="0"/>
        <v>11</v>
      </c>
    </row>
    <row r="45" spans="1:13" x14ac:dyDescent="0.25">
      <c r="C45" s="115"/>
      <c r="I45" s="115"/>
      <c r="M45" s="1">
        <f t="shared" si="0"/>
        <v>12</v>
      </c>
    </row>
    <row r="46" spans="1:13" x14ac:dyDescent="0.25">
      <c r="B46" s="113">
        <f>VLOOKUP(B44,A3:B31,1,TRUE)</f>
        <v>204</v>
      </c>
      <c r="C46" s="115">
        <f>VLOOKUP(B46,A5:C25,3,FALSE)</f>
        <v>137203</v>
      </c>
      <c r="H46" s="113">
        <f>VLOOKUP(H44,G3:H33,1,TRUE)</f>
        <v>204</v>
      </c>
      <c r="I46" s="115">
        <f>VLOOKUP(H46,G5:I33,3,FALSE)</f>
        <v>128240</v>
      </c>
      <c r="M46" s="1">
        <f t="shared" si="0"/>
        <v>13</v>
      </c>
    </row>
    <row r="47" spans="1:13" x14ac:dyDescent="0.25">
      <c r="B47" s="113">
        <f>SMALL(A5:A31,COUNTIF(A5:A31,"&lt;"&amp;B44)+1)</f>
        <v>260</v>
      </c>
      <c r="C47" s="115">
        <f>VLOOKUP(B47,A5:C25,3,FALSE)</f>
        <v>130997</v>
      </c>
      <c r="H47" s="113">
        <f>SMALL(G5:G33,COUNTIF(G5:G33,"&lt;"&amp;H44)+1)</f>
        <v>260</v>
      </c>
      <c r="I47" s="115">
        <f>VLOOKUP(H47,G5:I33,3,FALSE)</f>
        <v>120656</v>
      </c>
      <c r="M47" s="1">
        <f t="shared" si="0"/>
        <v>14</v>
      </c>
    </row>
    <row r="48" spans="1:13" x14ac:dyDescent="0.25">
      <c r="C48" s="114"/>
      <c r="M48" s="1">
        <f t="shared" si="0"/>
        <v>15</v>
      </c>
    </row>
    <row r="49" spans="3:13" x14ac:dyDescent="0.25">
      <c r="C49" s="114"/>
      <c r="M49" s="1">
        <f t="shared" si="0"/>
        <v>16</v>
      </c>
    </row>
    <row r="50" spans="3:13" x14ac:dyDescent="0.25">
      <c r="C50" s="114"/>
      <c r="M50" s="1">
        <f t="shared" si="0"/>
        <v>17</v>
      </c>
    </row>
    <row r="51" spans="3:13" x14ac:dyDescent="0.25">
      <c r="C51" s="114"/>
      <c r="M51" s="1">
        <f t="shared" si="0"/>
        <v>18</v>
      </c>
    </row>
    <row r="52" spans="3:13" x14ac:dyDescent="0.25">
      <c r="C52" s="114"/>
      <c r="M52" s="1">
        <f t="shared" si="0"/>
        <v>19</v>
      </c>
    </row>
    <row r="53" spans="3:13" x14ac:dyDescent="0.25">
      <c r="C53" s="114"/>
      <c r="M53" s="1">
        <f t="shared" si="0"/>
        <v>20</v>
      </c>
    </row>
    <row r="54" spans="3:13" x14ac:dyDescent="0.25">
      <c r="C54" s="114"/>
      <c r="M54" s="1">
        <f t="shared" si="0"/>
        <v>21</v>
      </c>
    </row>
    <row r="55" spans="3:13" x14ac:dyDescent="0.25">
      <c r="C55" s="114"/>
      <c r="M55" s="1">
        <f t="shared" si="0"/>
        <v>22</v>
      </c>
    </row>
    <row r="56" spans="3:13" x14ac:dyDescent="0.25">
      <c r="C56" s="114"/>
      <c r="M56" s="1">
        <f t="shared" si="0"/>
        <v>23</v>
      </c>
    </row>
    <row r="57" spans="3:13" x14ac:dyDescent="0.25">
      <c r="C57" s="114"/>
      <c r="M57" s="1">
        <f t="shared" si="0"/>
        <v>24</v>
      </c>
    </row>
    <row r="58" spans="3:13" x14ac:dyDescent="0.25">
      <c r="C58" s="114"/>
      <c r="M58" s="1">
        <f t="shared" si="0"/>
        <v>25</v>
      </c>
    </row>
    <row r="59" spans="3:13" x14ac:dyDescent="0.25">
      <c r="C59" s="114"/>
      <c r="M59" s="1">
        <f t="shared" si="0"/>
        <v>26</v>
      </c>
    </row>
    <row r="60" spans="3:13" x14ac:dyDescent="0.25">
      <c r="C60" s="114"/>
      <c r="M60" s="1">
        <f t="shared" si="0"/>
        <v>27</v>
      </c>
    </row>
    <row r="61" spans="3:13" x14ac:dyDescent="0.25">
      <c r="C61" s="114"/>
      <c r="M61" s="1">
        <f t="shared" si="0"/>
        <v>28</v>
      </c>
    </row>
    <row r="62" spans="3:13" x14ac:dyDescent="0.25">
      <c r="C62" s="114"/>
      <c r="M62" s="1">
        <f t="shared" si="0"/>
        <v>29</v>
      </c>
    </row>
    <row r="63" spans="3:13" x14ac:dyDescent="0.25">
      <c r="C63" s="114"/>
      <c r="M63" s="1">
        <f t="shared" si="0"/>
        <v>30</v>
      </c>
    </row>
    <row r="64" spans="3:13" x14ac:dyDescent="0.25">
      <c r="C64" s="114"/>
      <c r="M64" s="1">
        <f t="shared" si="0"/>
        <v>31</v>
      </c>
    </row>
    <row r="65" spans="3:13" x14ac:dyDescent="0.25">
      <c r="C65" s="114"/>
      <c r="M65" s="1">
        <f t="shared" si="0"/>
        <v>32</v>
      </c>
    </row>
    <row r="66" spans="3:13" x14ac:dyDescent="0.25">
      <c r="C66" s="114"/>
      <c r="M66" s="1">
        <f t="shared" si="0"/>
        <v>33</v>
      </c>
    </row>
    <row r="67" spans="3:13" x14ac:dyDescent="0.25">
      <c r="C67" s="114"/>
      <c r="M67" s="1">
        <f t="shared" si="0"/>
        <v>34</v>
      </c>
    </row>
    <row r="68" spans="3:13" x14ac:dyDescent="0.25">
      <c r="C68" s="114"/>
      <c r="M68" s="1">
        <f t="shared" si="0"/>
        <v>35</v>
      </c>
    </row>
    <row r="69" spans="3:13" x14ac:dyDescent="0.25">
      <c r="C69" s="114"/>
      <c r="M69" s="1">
        <f t="shared" ref="M69:M118" si="1">M68+1</f>
        <v>36</v>
      </c>
    </row>
    <row r="70" spans="3:13" x14ac:dyDescent="0.25">
      <c r="C70" s="114"/>
      <c r="M70" s="1">
        <f t="shared" si="1"/>
        <v>37</v>
      </c>
    </row>
    <row r="71" spans="3:13" x14ac:dyDescent="0.25">
      <c r="C71" s="114"/>
      <c r="M71" s="1">
        <f t="shared" si="1"/>
        <v>38</v>
      </c>
    </row>
    <row r="72" spans="3:13" x14ac:dyDescent="0.25">
      <c r="C72" s="114"/>
      <c r="M72" s="1">
        <f t="shared" si="1"/>
        <v>39</v>
      </c>
    </row>
    <row r="73" spans="3:13" x14ac:dyDescent="0.25">
      <c r="C73" s="114"/>
      <c r="M73" s="1">
        <f t="shared" si="1"/>
        <v>40</v>
      </c>
    </row>
    <row r="74" spans="3:13" x14ac:dyDescent="0.25">
      <c r="C74" s="114"/>
      <c r="M74" s="1">
        <f t="shared" si="1"/>
        <v>41</v>
      </c>
    </row>
    <row r="75" spans="3:13" x14ac:dyDescent="0.25">
      <c r="C75" s="114"/>
      <c r="M75" s="1">
        <f t="shared" si="1"/>
        <v>42</v>
      </c>
    </row>
    <row r="76" spans="3:13" x14ac:dyDescent="0.25">
      <c r="C76" s="114"/>
      <c r="M76" s="1">
        <f t="shared" si="1"/>
        <v>43</v>
      </c>
    </row>
    <row r="77" spans="3:13" x14ac:dyDescent="0.25">
      <c r="C77" s="114"/>
      <c r="M77" s="1">
        <f t="shared" si="1"/>
        <v>44</v>
      </c>
    </row>
    <row r="78" spans="3:13" x14ac:dyDescent="0.25">
      <c r="C78" s="114"/>
      <c r="M78" s="1">
        <f t="shared" si="1"/>
        <v>45</v>
      </c>
    </row>
    <row r="79" spans="3:13" x14ac:dyDescent="0.25">
      <c r="C79" s="114"/>
      <c r="M79" s="1">
        <f t="shared" si="1"/>
        <v>46</v>
      </c>
    </row>
    <row r="80" spans="3:13" x14ac:dyDescent="0.25">
      <c r="C80" s="114"/>
      <c r="M80" s="1">
        <f t="shared" si="1"/>
        <v>47</v>
      </c>
    </row>
    <row r="81" spans="3:13" x14ac:dyDescent="0.25">
      <c r="C81" s="114"/>
      <c r="M81" s="1">
        <f t="shared" si="1"/>
        <v>48</v>
      </c>
    </row>
    <row r="82" spans="3:13" x14ac:dyDescent="0.25">
      <c r="C82" s="114"/>
      <c r="M82" s="1">
        <f t="shared" si="1"/>
        <v>49</v>
      </c>
    </row>
    <row r="83" spans="3:13" x14ac:dyDescent="0.25">
      <c r="C83" s="114"/>
      <c r="M83" s="1">
        <f t="shared" si="1"/>
        <v>50</v>
      </c>
    </row>
    <row r="84" spans="3:13" x14ac:dyDescent="0.25">
      <c r="C84" s="114"/>
      <c r="M84" s="1">
        <f t="shared" si="1"/>
        <v>51</v>
      </c>
    </row>
    <row r="85" spans="3:13" x14ac:dyDescent="0.25">
      <c r="C85" s="114"/>
      <c r="M85" s="1">
        <f t="shared" si="1"/>
        <v>52</v>
      </c>
    </row>
    <row r="86" spans="3:13" x14ac:dyDescent="0.25">
      <c r="C86" s="114"/>
      <c r="M86" s="1">
        <f t="shared" si="1"/>
        <v>53</v>
      </c>
    </row>
    <row r="87" spans="3:13" x14ac:dyDescent="0.25">
      <c r="C87" s="114"/>
      <c r="M87" s="1">
        <f t="shared" si="1"/>
        <v>54</v>
      </c>
    </row>
    <row r="88" spans="3:13" x14ac:dyDescent="0.25">
      <c r="C88" s="114"/>
      <c r="M88" s="1">
        <f t="shared" si="1"/>
        <v>55</v>
      </c>
    </row>
    <row r="89" spans="3:13" x14ac:dyDescent="0.25">
      <c r="C89" s="114"/>
      <c r="M89" s="1">
        <f t="shared" si="1"/>
        <v>56</v>
      </c>
    </row>
    <row r="90" spans="3:13" x14ac:dyDescent="0.25">
      <c r="C90" s="114"/>
      <c r="M90" s="1">
        <f t="shared" si="1"/>
        <v>57</v>
      </c>
    </row>
    <row r="91" spans="3:13" x14ac:dyDescent="0.25">
      <c r="C91" s="114"/>
      <c r="M91" s="1">
        <f t="shared" si="1"/>
        <v>58</v>
      </c>
    </row>
    <row r="92" spans="3:13" x14ac:dyDescent="0.25">
      <c r="C92" s="114"/>
      <c r="M92" s="1">
        <f t="shared" si="1"/>
        <v>59</v>
      </c>
    </row>
    <row r="93" spans="3:13" x14ac:dyDescent="0.25">
      <c r="C93" s="114"/>
      <c r="M93" s="1">
        <f t="shared" si="1"/>
        <v>60</v>
      </c>
    </row>
    <row r="94" spans="3:13" x14ac:dyDescent="0.25">
      <c r="C94" s="114"/>
      <c r="M94" s="1">
        <f t="shared" si="1"/>
        <v>61</v>
      </c>
    </row>
    <row r="95" spans="3:13" x14ac:dyDescent="0.25">
      <c r="C95" s="114"/>
      <c r="M95" s="1">
        <f t="shared" si="1"/>
        <v>62</v>
      </c>
    </row>
    <row r="96" spans="3:13" x14ac:dyDescent="0.25">
      <c r="C96" s="114"/>
      <c r="M96" s="1">
        <f t="shared" si="1"/>
        <v>63</v>
      </c>
    </row>
    <row r="97" spans="3:13" x14ac:dyDescent="0.25">
      <c r="C97" s="114"/>
      <c r="M97" s="1">
        <f t="shared" si="1"/>
        <v>64</v>
      </c>
    </row>
    <row r="98" spans="3:13" x14ac:dyDescent="0.25">
      <c r="C98" s="114"/>
      <c r="M98" s="1">
        <f t="shared" si="1"/>
        <v>65</v>
      </c>
    </row>
    <row r="99" spans="3:13" x14ac:dyDescent="0.25">
      <c r="C99" s="114"/>
      <c r="M99" s="1">
        <f t="shared" si="1"/>
        <v>66</v>
      </c>
    </row>
    <row r="100" spans="3:13" x14ac:dyDescent="0.25">
      <c r="C100" s="114"/>
      <c r="M100" s="1">
        <f t="shared" si="1"/>
        <v>67</v>
      </c>
    </row>
    <row r="101" spans="3:13" x14ac:dyDescent="0.25">
      <c r="C101" s="114"/>
      <c r="M101" s="1">
        <f t="shared" si="1"/>
        <v>68</v>
      </c>
    </row>
    <row r="102" spans="3:13" x14ac:dyDescent="0.25">
      <c r="C102" s="114"/>
      <c r="M102" s="1">
        <f t="shared" si="1"/>
        <v>69</v>
      </c>
    </row>
    <row r="103" spans="3:13" x14ac:dyDescent="0.25">
      <c r="C103" s="114"/>
      <c r="M103" s="1">
        <f t="shared" si="1"/>
        <v>70</v>
      </c>
    </row>
    <row r="104" spans="3:13" x14ac:dyDescent="0.25">
      <c r="C104" s="114"/>
      <c r="M104" s="1">
        <f t="shared" si="1"/>
        <v>71</v>
      </c>
    </row>
    <row r="105" spans="3:13" x14ac:dyDescent="0.25">
      <c r="C105" s="114"/>
      <c r="M105" s="1">
        <f t="shared" si="1"/>
        <v>72</v>
      </c>
    </row>
    <row r="106" spans="3:13" x14ac:dyDescent="0.25">
      <c r="C106" s="114"/>
      <c r="M106" s="1">
        <f t="shared" si="1"/>
        <v>73</v>
      </c>
    </row>
    <row r="107" spans="3:13" x14ac:dyDescent="0.25">
      <c r="C107" s="114"/>
      <c r="M107" s="1">
        <f t="shared" si="1"/>
        <v>74</v>
      </c>
    </row>
    <row r="108" spans="3:13" x14ac:dyDescent="0.25">
      <c r="C108" s="114"/>
      <c r="M108" s="1">
        <f t="shared" si="1"/>
        <v>75</v>
      </c>
    </row>
    <row r="109" spans="3:13" x14ac:dyDescent="0.25">
      <c r="C109" s="114"/>
      <c r="M109" s="1">
        <f t="shared" si="1"/>
        <v>76</v>
      </c>
    </row>
    <row r="110" spans="3:13" x14ac:dyDescent="0.25">
      <c r="C110" s="114"/>
      <c r="M110" s="1">
        <f t="shared" si="1"/>
        <v>77</v>
      </c>
    </row>
    <row r="111" spans="3:13" x14ac:dyDescent="0.25">
      <c r="C111" s="114"/>
      <c r="M111" s="1">
        <f t="shared" si="1"/>
        <v>78</v>
      </c>
    </row>
    <row r="112" spans="3:13" x14ac:dyDescent="0.25">
      <c r="C112" s="114"/>
      <c r="M112" s="1">
        <f t="shared" si="1"/>
        <v>79</v>
      </c>
    </row>
    <row r="113" spans="3:13" x14ac:dyDescent="0.25">
      <c r="C113" s="114"/>
      <c r="M113" s="1">
        <f t="shared" si="1"/>
        <v>80</v>
      </c>
    </row>
    <row r="114" spans="3:13" x14ac:dyDescent="0.25">
      <c r="C114" s="114"/>
      <c r="M114" s="1">
        <f t="shared" si="1"/>
        <v>81</v>
      </c>
    </row>
    <row r="115" spans="3:13" x14ac:dyDescent="0.25">
      <c r="C115" s="114"/>
      <c r="M115" s="1">
        <f t="shared" si="1"/>
        <v>82</v>
      </c>
    </row>
    <row r="116" spans="3:13" x14ac:dyDescent="0.25">
      <c r="C116" s="114"/>
      <c r="M116" s="1">
        <f t="shared" si="1"/>
        <v>83</v>
      </c>
    </row>
    <row r="117" spans="3:13" x14ac:dyDescent="0.25">
      <c r="C117" s="114"/>
      <c r="M117" s="1">
        <f t="shared" si="1"/>
        <v>84</v>
      </c>
    </row>
    <row r="118" spans="3:13" x14ac:dyDescent="0.25">
      <c r="C118" s="114"/>
      <c r="M118" s="1">
        <f t="shared" si="1"/>
        <v>85</v>
      </c>
    </row>
    <row r="119" spans="3:13" x14ac:dyDescent="0.25">
      <c r="C119" s="114"/>
    </row>
    <row r="120" spans="3:13" x14ac:dyDescent="0.25">
      <c r="C120" s="114"/>
    </row>
    <row r="121" spans="3:13" x14ac:dyDescent="0.25">
      <c r="C121" s="114"/>
    </row>
    <row r="122" spans="3:13" x14ac:dyDescent="0.25">
      <c r="C122" s="114"/>
    </row>
    <row r="123" spans="3:13" x14ac:dyDescent="0.25">
      <c r="C123" s="114"/>
    </row>
    <row r="124" spans="3:13" x14ac:dyDescent="0.25">
      <c r="C124" s="114"/>
    </row>
    <row r="125" spans="3:13" x14ac:dyDescent="0.25">
      <c r="C125" s="114"/>
    </row>
    <row r="126" spans="3:13" x14ac:dyDescent="0.25">
      <c r="C126" s="114"/>
    </row>
    <row r="127" spans="3:13" x14ac:dyDescent="0.25">
      <c r="C127" s="114"/>
    </row>
    <row r="128" spans="3:13" x14ac:dyDescent="0.25">
      <c r="C128" s="114"/>
    </row>
    <row r="129" spans="3:3" x14ac:dyDescent="0.25">
      <c r="C129" s="114"/>
    </row>
    <row r="130" spans="3:3" x14ac:dyDescent="0.25">
      <c r="C130" s="114"/>
    </row>
    <row r="131" spans="3:3" x14ac:dyDescent="0.25">
      <c r="C131" s="114"/>
    </row>
    <row r="132" spans="3:3" x14ac:dyDescent="0.25">
      <c r="C132" s="114"/>
    </row>
    <row r="133" spans="3:3" x14ac:dyDescent="0.25">
      <c r="C133" s="114"/>
    </row>
    <row r="134" spans="3:3" x14ac:dyDescent="0.25">
      <c r="C134" s="114"/>
    </row>
    <row r="135" spans="3:3" x14ac:dyDescent="0.25">
      <c r="C135" s="114"/>
    </row>
    <row r="136" spans="3:3" x14ac:dyDescent="0.25">
      <c r="C136" s="114"/>
    </row>
    <row r="137" spans="3:3" x14ac:dyDescent="0.25">
      <c r="C137" s="114"/>
    </row>
    <row r="138" spans="3:3" x14ac:dyDescent="0.25">
      <c r="C138" s="114"/>
    </row>
    <row r="139" spans="3:3" x14ac:dyDescent="0.25">
      <c r="C139" s="114"/>
    </row>
    <row r="140" spans="3:3" x14ac:dyDescent="0.25">
      <c r="C140" s="114"/>
    </row>
    <row r="141" spans="3:3" x14ac:dyDescent="0.25">
      <c r="C141" s="114"/>
    </row>
    <row r="142" spans="3:3" x14ac:dyDescent="0.25">
      <c r="C142" s="114"/>
    </row>
    <row r="143" spans="3:3" x14ac:dyDescent="0.25">
      <c r="C143" s="114"/>
    </row>
    <row r="144" spans="3:3" x14ac:dyDescent="0.25">
      <c r="C144" s="114"/>
    </row>
    <row r="145" spans="3:3" x14ac:dyDescent="0.25">
      <c r="C145" s="114"/>
    </row>
    <row r="146" spans="3:3" x14ac:dyDescent="0.25">
      <c r="C146" s="114"/>
    </row>
    <row r="147" spans="3:3" x14ac:dyDescent="0.25">
      <c r="C147" s="114"/>
    </row>
    <row r="148" spans="3:3" x14ac:dyDescent="0.25">
      <c r="C148" s="114"/>
    </row>
    <row r="149" spans="3:3" x14ac:dyDescent="0.25">
      <c r="C149" s="114"/>
    </row>
    <row r="150" spans="3:3" x14ac:dyDescent="0.25">
      <c r="C150" s="114"/>
    </row>
    <row r="151" spans="3:3" x14ac:dyDescent="0.25">
      <c r="C151" s="114"/>
    </row>
    <row r="152" spans="3:3" x14ac:dyDescent="0.25">
      <c r="C152" s="114"/>
    </row>
    <row r="153" spans="3:3" x14ac:dyDescent="0.25">
      <c r="C153" s="114"/>
    </row>
    <row r="154" spans="3:3" x14ac:dyDescent="0.25">
      <c r="C154" s="114"/>
    </row>
    <row r="155" spans="3:3" x14ac:dyDescent="0.25">
      <c r="C155" s="114"/>
    </row>
    <row r="156" spans="3:3" x14ac:dyDescent="0.25">
      <c r="C156" s="114"/>
    </row>
    <row r="157" spans="3:3" x14ac:dyDescent="0.25">
      <c r="C157" s="114"/>
    </row>
    <row r="158" spans="3:3" x14ac:dyDescent="0.25">
      <c r="C158" s="114"/>
    </row>
    <row r="159" spans="3:3" x14ac:dyDescent="0.25">
      <c r="C159" s="114"/>
    </row>
    <row r="160" spans="3:3" x14ac:dyDescent="0.25">
      <c r="C160" s="114"/>
    </row>
    <row r="161" spans="3:3" x14ac:dyDescent="0.25">
      <c r="C161" s="114"/>
    </row>
    <row r="162" spans="3:3" x14ac:dyDescent="0.25">
      <c r="C162" s="114"/>
    </row>
    <row r="163" spans="3:3" x14ac:dyDescent="0.25">
      <c r="C163" s="114"/>
    </row>
    <row r="164" spans="3:3" x14ac:dyDescent="0.25">
      <c r="C164" s="114"/>
    </row>
    <row r="165" spans="3:3" x14ac:dyDescent="0.25">
      <c r="C165" s="114"/>
    </row>
    <row r="166" spans="3:3" x14ac:dyDescent="0.25">
      <c r="C166" s="114"/>
    </row>
    <row r="167" spans="3:3" x14ac:dyDescent="0.25">
      <c r="C167" s="114"/>
    </row>
    <row r="168" spans="3:3" x14ac:dyDescent="0.25">
      <c r="C168" s="114"/>
    </row>
    <row r="169" spans="3:3" x14ac:dyDescent="0.25">
      <c r="C169" s="114"/>
    </row>
    <row r="170" spans="3:3" x14ac:dyDescent="0.25">
      <c r="C170" s="114"/>
    </row>
    <row r="171" spans="3:3" x14ac:dyDescent="0.25">
      <c r="C171" s="114"/>
    </row>
    <row r="172" spans="3:3" x14ac:dyDescent="0.25">
      <c r="C172" s="114"/>
    </row>
    <row r="173" spans="3:3" x14ac:dyDescent="0.25">
      <c r="C173" s="114"/>
    </row>
    <row r="174" spans="3:3" x14ac:dyDescent="0.25">
      <c r="C174" s="114"/>
    </row>
    <row r="175" spans="3:3" x14ac:dyDescent="0.25">
      <c r="C175" s="114"/>
    </row>
    <row r="176" spans="3:3" x14ac:dyDescent="0.25">
      <c r="C176" s="114"/>
    </row>
    <row r="177" spans="3:3" x14ac:dyDescent="0.25">
      <c r="C177" s="114"/>
    </row>
    <row r="178" spans="3:3" x14ac:dyDescent="0.25">
      <c r="C178" s="114"/>
    </row>
    <row r="179" spans="3:3" x14ac:dyDescent="0.25">
      <c r="C179" s="114"/>
    </row>
    <row r="180" spans="3:3" x14ac:dyDescent="0.25">
      <c r="C180" s="114"/>
    </row>
    <row r="181" spans="3:3" x14ac:dyDescent="0.25">
      <c r="C181" s="114"/>
    </row>
    <row r="182" spans="3:3" x14ac:dyDescent="0.25">
      <c r="C182" s="114"/>
    </row>
    <row r="183" spans="3:3" x14ac:dyDescent="0.25">
      <c r="C183" s="114"/>
    </row>
    <row r="184" spans="3:3" x14ac:dyDescent="0.25">
      <c r="C184" s="114"/>
    </row>
    <row r="185" spans="3:3" x14ac:dyDescent="0.25">
      <c r="C185" s="114"/>
    </row>
    <row r="186" spans="3:3" x14ac:dyDescent="0.25">
      <c r="C186" s="114"/>
    </row>
    <row r="187" spans="3:3" x14ac:dyDescent="0.25">
      <c r="C187" s="114"/>
    </row>
    <row r="188" spans="3:3" x14ac:dyDescent="0.25">
      <c r="C188" s="114"/>
    </row>
    <row r="189" spans="3:3" x14ac:dyDescent="0.25">
      <c r="C189" s="114"/>
    </row>
    <row r="190" spans="3:3" x14ac:dyDescent="0.25">
      <c r="C190" s="114"/>
    </row>
    <row r="191" spans="3:3" x14ac:dyDescent="0.25">
      <c r="C191" s="114"/>
    </row>
    <row r="192" spans="3:3" x14ac:dyDescent="0.25">
      <c r="C192" s="114"/>
    </row>
    <row r="193" spans="3:3" x14ac:dyDescent="0.25">
      <c r="C193" s="114"/>
    </row>
    <row r="194" spans="3:3" x14ac:dyDescent="0.25">
      <c r="C194" s="114"/>
    </row>
    <row r="195" spans="3:3" x14ac:dyDescent="0.25">
      <c r="C195" s="114"/>
    </row>
    <row r="196" spans="3:3" x14ac:dyDescent="0.25">
      <c r="C196" s="114"/>
    </row>
    <row r="197" spans="3:3" x14ac:dyDescent="0.25">
      <c r="C197" s="114"/>
    </row>
    <row r="198" spans="3:3" x14ac:dyDescent="0.25">
      <c r="C198" s="114"/>
    </row>
    <row r="199" spans="3:3" x14ac:dyDescent="0.25">
      <c r="C199" s="114"/>
    </row>
    <row r="200" spans="3:3" x14ac:dyDescent="0.25">
      <c r="C200" s="114"/>
    </row>
    <row r="201" spans="3:3" x14ac:dyDescent="0.25">
      <c r="C201" s="114"/>
    </row>
    <row r="202" spans="3:3" x14ac:dyDescent="0.25">
      <c r="C202" s="114"/>
    </row>
    <row r="203" spans="3:3" x14ac:dyDescent="0.25">
      <c r="C203" s="114"/>
    </row>
    <row r="204" spans="3:3" x14ac:dyDescent="0.25">
      <c r="C204" s="114"/>
    </row>
    <row r="205" spans="3:3" x14ac:dyDescent="0.25">
      <c r="C205" s="114"/>
    </row>
    <row r="206" spans="3:3" x14ac:dyDescent="0.25">
      <c r="C206" s="114"/>
    </row>
    <row r="207" spans="3:3" x14ac:dyDescent="0.25">
      <c r="C207" s="114"/>
    </row>
    <row r="208" spans="3:3" x14ac:dyDescent="0.25">
      <c r="C208" s="114"/>
    </row>
    <row r="209" spans="3:3" x14ac:dyDescent="0.25">
      <c r="C209" s="114"/>
    </row>
    <row r="210" spans="3:3" x14ac:dyDescent="0.25">
      <c r="C210" s="114"/>
    </row>
    <row r="211" spans="3:3" x14ac:dyDescent="0.25">
      <c r="C211" s="114"/>
    </row>
    <row r="212" spans="3:3" x14ac:dyDescent="0.25">
      <c r="C212" s="114"/>
    </row>
    <row r="213" spans="3:3" x14ac:dyDescent="0.25">
      <c r="C213" s="114"/>
    </row>
    <row r="214" spans="3:3" x14ac:dyDescent="0.25">
      <c r="C214" s="114"/>
    </row>
    <row r="215" spans="3:3" x14ac:dyDescent="0.25">
      <c r="C215" s="114"/>
    </row>
    <row r="216" spans="3:3" x14ac:dyDescent="0.25">
      <c r="C216" s="114"/>
    </row>
    <row r="217" spans="3:3" x14ac:dyDescent="0.25">
      <c r="C217" s="114"/>
    </row>
    <row r="218" spans="3:3" x14ac:dyDescent="0.25">
      <c r="C218" s="114"/>
    </row>
    <row r="219" spans="3:3" x14ac:dyDescent="0.25">
      <c r="C219" s="114"/>
    </row>
    <row r="220" spans="3:3" x14ac:dyDescent="0.25">
      <c r="C220" s="114"/>
    </row>
    <row r="221" spans="3:3" x14ac:dyDescent="0.25">
      <c r="C221" s="114"/>
    </row>
    <row r="222" spans="3:3" x14ac:dyDescent="0.25">
      <c r="C222" s="114"/>
    </row>
    <row r="223" spans="3:3" x14ac:dyDescent="0.25">
      <c r="C223" s="114"/>
    </row>
    <row r="224" spans="3:3" x14ac:dyDescent="0.25">
      <c r="C224" s="114"/>
    </row>
    <row r="225" spans="3:3" x14ac:dyDescent="0.25">
      <c r="C225" s="114"/>
    </row>
    <row r="226" spans="3:3" x14ac:dyDescent="0.25">
      <c r="C226" s="114"/>
    </row>
    <row r="227" spans="3:3" x14ac:dyDescent="0.25">
      <c r="C227" s="114"/>
    </row>
    <row r="228" spans="3:3" x14ac:dyDescent="0.25">
      <c r="C228" s="114"/>
    </row>
    <row r="229" spans="3:3" x14ac:dyDescent="0.25">
      <c r="C229" s="114"/>
    </row>
    <row r="230" spans="3:3" x14ac:dyDescent="0.25">
      <c r="C230" s="114"/>
    </row>
    <row r="231" spans="3:3" x14ac:dyDescent="0.25">
      <c r="C231" s="114"/>
    </row>
    <row r="232" spans="3:3" x14ac:dyDescent="0.25">
      <c r="C232" s="114"/>
    </row>
    <row r="233" spans="3:3" x14ac:dyDescent="0.25">
      <c r="C233" s="114"/>
    </row>
    <row r="234" spans="3:3" x14ac:dyDescent="0.25">
      <c r="C234" s="114"/>
    </row>
    <row r="235" spans="3:3" x14ac:dyDescent="0.25">
      <c r="C235" s="114"/>
    </row>
    <row r="236" spans="3:3" x14ac:dyDescent="0.25">
      <c r="C236" s="114"/>
    </row>
    <row r="237" spans="3:3" x14ac:dyDescent="0.25">
      <c r="C237" s="114"/>
    </row>
    <row r="238" spans="3:3" x14ac:dyDescent="0.25">
      <c r="C238" s="114"/>
    </row>
    <row r="239" spans="3:3" x14ac:dyDescent="0.25">
      <c r="C239" s="114"/>
    </row>
    <row r="240" spans="3:3" x14ac:dyDescent="0.25">
      <c r="C240" s="114"/>
    </row>
    <row r="241" spans="3:3" x14ac:dyDescent="0.25">
      <c r="C241" s="114"/>
    </row>
    <row r="242" spans="3:3" x14ac:dyDescent="0.25">
      <c r="C242" s="114"/>
    </row>
    <row r="243" spans="3:3" x14ac:dyDescent="0.25">
      <c r="C243" s="114"/>
    </row>
    <row r="244" spans="3:3" x14ac:dyDescent="0.25">
      <c r="C244" s="114"/>
    </row>
    <row r="245" spans="3:3" x14ac:dyDescent="0.25">
      <c r="C245" s="114"/>
    </row>
    <row r="246" spans="3:3" x14ac:dyDescent="0.25">
      <c r="C246" s="114"/>
    </row>
    <row r="247" spans="3:3" x14ac:dyDescent="0.25">
      <c r="C247" s="114"/>
    </row>
    <row r="248" spans="3:3" x14ac:dyDescent="0.25">
      <c r="C248" s="114"/>
    </row>
    <row r="249" spans="3:3" x14ac:dyDescent="0.25">
      <c r="C249" s="114"/>
    </row>
    <row r="250" spans="3:3" x14ac:dyDescent="0.25">
      <c r="C250" s="114"/>
    </row>
    <row r="251" spans="3:3" x14ac:dyDescent="0.25">
      <c r="C251" s="114"/>
    </row>
    <row r="252" spans="3:3" x14ac:dyDescent="0.25">
      <c r="C252" s="114"/>
    </row>
    <row r="253" spans="3:3" x14ac:dyDescent="0.25">
      <c r="C253" s="114"/>
    </row>
    <row r="254" spans="3:3" x14ac:dyDescent="0.25">
      <c r="C254" s="114"/>
    </row>
    <row r="255" spans="3:3" x14ac:dyDescent="0.25">
      <c r="C255" s="114"/>
    </row>
    <row r="256" spans="3:3" x14ac:dyDescent="0.25">
      <c r="C256" s="114"/>
    </row>
    <row r="257" spans="3:3" x14ac:dyDescent="0.25">
      <c r="C257" s="114"/>
    </row>
    <row r="258" spans="3:3" x14ac:dyDescent="0.25">
      <c r="C258" s="114"/>
    </row>
    <row r="259" spans="3:3" x14ac:dyDescent="0.25">
      <c r="C259" s="114"/>
    </row>
    <row r="260" spans="3:3" x14ac:dyDescent="0.25">
      <c r="C260" s="114"/>
    </row>
    <row r="261" spans="3:3" x14ac:dyDescent="0.25">
      <c r="C261" s="114"/>
    </row>
    <row r="262" spans="3:3" x14ac:dyDescent="0.25">
      <c r="C262" s="114"/>
    </row>
    <row r="263" spans="3:3" x14ac:dyDescent="0.25">
      <c r="C263" s="114"/>
    </row>
    <row r="264" spans="3:3" x14ac:dyDescent="0.25">
      <c r="C264" s="114"/>
    </row>
    <row r="265" spans="3:3" x14ac:dyDescent="0.25">
      <c r="C265" s="114"/>
    </row>
    <row r="266" spans="3:3" x14ac:dyDescent="0.25">
      <c r="C266" s="114"/>
    </row>
    <row r="267" spans="3:3" x14ac:dyDescent="0.25">
      <c r="C267" s="114"/>
    </row>
    <row r="268" spans="3:3" x14ac:dyDescent="0.25">
      <c r="C268" s="114"/>
    </row>
    <row r="269" spans="3:3" x14ac:dyDescent="0.25">
      <c r="C269" s="114"/>
    </row>
    <row r="270" spans="3:3" x14ac:dyDescent="0.25">
      <c r="C270" s="114"/>
    </row>
    <row r="271" spans="3:3" x14ac:dyDescent="0.25">
      <c r="C271" s="114"/>
    </row>
    <row r="272" spans="3:3" x14ac:dyDescent="0.25">
      <c r="C272" s="114"/>
    </row>
    <row r="273" spans="3:3" x14ac:dyDescent="0.25">
      <c r="C273" s="114"/>
    </row>
    <row r="274" spans="3:3" x14ac:dyDescent="0.25">
      <c r="C274" s="114"/>
    </row>
    <row r="275" spans="3:3" x14ac:dyDescent="0.25">
      <c r="C275" s="114"/>
    </row>
    <row r="276" spans="3:3" x14ac:dyDescent="0.25">
      <c r="C276" s="114"/>
    </row>
    <row r="277" spans="3:3" x14ac:dyDescent="0.25">
      <c r="C277" s="114"/>
    </row>
    <row r="278" spans="3:3" x14ac:dyDescent="0.25">
      <c r="C278" s="114"/>
    </row>
    <row r="279" spans="3:3" x14ac:dyDescent="0.25">
      <c r="C279" s="114"/>
    </row>
    <row r="280" spans="3:3" x14ac:dyDescent="0.25">
      <c r="C280" s="114"/>
    </row>
    <row r="281" spans="3:3" x14ac:dyDescent="0.25">
      <c r="C281" s="114"/>
    </row>
    <row r="282" spans="3:3" x14ac:dyDescent="0.25">
      <c r="C282" s="114"/>
    </row>
    <row r="283" spans="3:3" x14ac:dyDescent="0.25">
      <c r="C283" s="114"/>
    </row>
    <row r="284" spans="3:3" x14ac:dyDescent="0.25">
      <c r="C284" s="114"/>
    </row>
    <row r="285" spans="3:3" x14ac:dyDescent="0.25">
      <c r="C285" s="114"/>
    </row>
    <row r="286" spans="3:3" x14ac:dyDescent="0.25">
      <c r="C286" s="114"/>
    </row>
    <row r="287" spans="3:3" x14ac:dyDescent="0.25">
      <c r="C287" s="114"/>
    </row>
    <row r="288" spans="3:3" x14ac:dyDescent="0.25">
      <c r="C288" s="114"/>
    </row>
    <row r="289" spans="3:3" x14ac:dyDescent="0.25">
      <c r="C289" s="114"/>
    </row>
    <row r="290" spans="3:3" x14ac:dyDescent="0.25">
      <c r="C290" s="114"/>
    </row>
    <row r="291" spans="3:3" x14ac:dyDescent="0.25">
      <c r="C291" s="114"/>
    </row>
    <row r="292" spans="3:3" x14ac:dyDescent="0.25">
      <c r="C292" s="114"/>
    </row>
    <row r="293" spans="3:3" x14ac:dyDescent="0.25">
      <c r="C293" s="114"/>
    </row>
    <row r="294" spans="3:3" x14ac:dyDescent="0.25">
      <c r="C294" s="114"/>
    </row>
    <row r="295" spans="3:3" x14ac:dyDescent="0.25">
      <c r="C295" s="114"/>
    </row>
    <row r="296" spans="3:3" x14ac:dyDescent="0.25">
      <c r="C296" s="114"/>
    </row>
    <row r="297" spans="3:3" x14ac:dyDescent="0.25">
      <c r="C297" s="114"/>
    </row>
    <row r="298" spans="3:3" x14ac:dyDescent="0.25">
      <c r="C298" s="114"/>
    </row>
    <row r="299" spans="3:3" x14ac:dyDescent="0.25">
      <c r="C299" s="114"/>
    </row>
    <row r="300" spans="3:3" x14ac:dyDescent="0.25">
      <c r="C300" s="114"/>
    </row>
    <row r="301" spans="3:3" x14ac:dyDescent="0.25">
      <c r="C301" s="114"/>
    </row>
    <row r="302" spans="3:3" x14ac:dyDescent="0.25">
      <c r="C302" s="114"/>
    </row>
    <row r="303" spans="3:3" x14ac:dyDescent="0.25">
      <c r="C303" s="114"/>
    </row>
    <row r="304" spans="3:3" x14ac:dyDescent="0.25">
      <c r="C304" s="114"/>
    </row>
    <row r="305" spans="3:3" x14ac:dyDescent="0.25">
      <c r="C305" s="114"/>
    </row>
    <row r="306" spans="3:3" x14ac:dyDescent="0.25">
      <c r="C306" s="114"/>
    </row>
    <row r="307" spans="3:3" x14ac:dyDescent="0.25">
      <c r="C307" s="114"/>
    </row>
    <row r="308" spans="3:3" x14ac:dyDescent="0.25">
      <c r="C308" s="114"/>
    </row>
    <row r="309" spans="3:3" x14ac:dyDescent="0.25">
      <c r="C309" s="114"/>
    </row>
    <row r="310" spans="3:3" x14ac:dyDescent="0.25">
      <c r="C310" s="114"/>
    </row>
    <row r="311" spans="3:3" x14ac:dyDescent="0.25">
      <c r="C311" s="114"/>
    </row>
    <row r="312" spans="3:3" x14ac:dyDescent="0.25">
      <c r="C312" s="114"/>
    </row>
    <row r="313" spans="3:3" x14ac:dyDescent="0.25">
      <c r="C313" s="114"/>
    </row>
    <row r="314" spans="3:3" x14ac:dyDescent="0.25">
      <c r="C314" s="114"/>
    </row>
    <row r="315" spans="3:3" x14ac:dyDescent="0.25">
      <c r="C315" s="114"/>
    </row>
    <row r="316" spans="3:3" x14ac:dyDescent="0.25">
      <c r="C316" s="114"/>
    </row>
    <row r="317" spans="3:3" x14ac:dyDescent="0.25">
      <c r="C317" s="114"/>
    </row>
    <row r="318" spans="3:3" x14ac:dyDescent="0.25">
      <c r="C318" s="114"/>
    </row>
    <row r="319" spans="3:3" x14ac:dyDescent="0.25">
      <c r="C319" s="114"/>
    </row>
    <row r="320" spans="3:3" x14ac:dyDescent="0.25">
      <c r="C320" s="114"/>
    </row>
    <row r="321" spans="3:3" x14ac:dyDescent="0.25">
      <c r="C321" s="114"/>
    </row>
    <row r="322" spans="3:3" x14ac:dyDescent="0.25">
      <c r="C322" s="114"/>
    </row>
    <row r="323" spans="3:3" x14ac:dyDescent="0.25">
      <c r="C323" s="114"/>
    </row>
    <row r="324" spans="3:3" x14ac:dyDescent="0.25">
      <c r="C324" s="114"/>
    </row>
    <row r="325" spans="3:3" x14ac:dyDescent="0.25">
      <c r="C325" s="114"/>
    </row>
    <row r="326" spans="3:3" x14ac:dyDescent="0.25">
      <c r="C326" s="114"/>
    </row>
    <row r="327" spans="3:3" x14ac:dyDescent="0.25">
      <c r="C327" s="114"/>
    </row>
    <row r="328" spans="3:3" x14ac:dyDescent="0.25">
      <c r="C328" s="114"/>
    </row>
    <row r="329" spans="3:3" x14ac:dyDescent="0.25">
      <c r="C329" s="114"/>
    </row>
    <row r="330" spans="3:3" x14ac:dyDescent="0.25">
      <c r="C330" s="114"/>
    </row>
    <row r="331" spans="3:3" x14ac:dyDescent="0.25">
      <c r="C331" s="114"/>
    </row>
    <row r="332" spans="3:3" x14ac:dyDescent="0.25">
      <c r="C332" s="114"/>
    </row>
    <row r="333" spans="3:3" x14ac:dyDescent="0.25">
      <c r="C333" s="114"/>
    </row>
    <row r="334" spans="3:3" x14ac:dyDescent="0.25">
      <c r="C334" s="114"/>
    </row>
    <row r="335" spans="3:3" x14ac:dyDescent="0.25">
      <c r="C335" s="114"/>
    </row>
    <row r="336" spans="3:3" x14ac:dyDescent="0.25">
      <c r="C336" s="114"/>
    </row>
    <row r="337" spans="3:3" x14ac:dyDescent="0.25">
      <c r="C337" s="114"/>
    </row>
    <row r="338" spans="3:3" x14ac:dyDescent="0.25">
      <c r="C338" s="114"/>
    </row>
    <row r="339" spans="3:3" x14ac:dyDescent="0.25">
      <c r="C339" s="114"/>
    </row>
    <row r="340" spans="3:3" x14ac:dyDescent="0.25">
      <c r="C340" s="114"/>
    </row>
    <row r="341" spans="3:3" x14ac:dyDescent="0.25">
      <c r="C341" s="114"/>
    </row>
    <row r="342" spans="3:3" x14ac:dyDescent="0.25">
      <c r="C342" s="114"/>
    </row>
    <row r="343" spans="3:3" x14ac:dyDescent="0.25">
      <c r="C343" s="114"/>
    </row>
    <row r="344" spans="3:3" x14ac:dyDescent="0.25">
      <c r="C344" s="114"/>
    </row>
    <row r="345" spans="3:3" x14ac:dyDescent="0.25">
      <c r="C345" s="114"/>
    </row>
    <row r="346" spans="3:3" x14ac:dyDescent="0.25">
      <c r="C346" s="114"/>
    </row>
    <row r="347" spans="3:3" x14ac:dyDescent="0.25">
      <c r="C347" s="114"/>
    </row>
    <row r="348" spans="3:3" x14ac:dyDescent="0.25">
      <c r="C348" s="114"/>
    </row>
    <row r="349" spans="3:3" x14ac:dyDescent="0.25">
      <c r="C349" s="114"/>
    </row>
    <row r="350" spans="3:3" x14ac:dyDescent="0.25">
      <c r="C350" s="114"/>
    </row>
    <row r="351" spans="3:3" x14ac:dyDescent="0.25">
      <c r="C351" s="114"/>
    </row>
    <row r="352" spans="3:3" x14ac:dyDescent="0.25">
      <c r="C352" s="114"/>
    </row>
    <row r="353" spans="3:3" x14ac:dyDescent="0.25">
      <c r="C353" s="114"/>
    </row>
    <row r="354" spans="3:3" x14ac:dyDescent="0.25">
      <c r="C354" s="114"/>
    </row>
    <row r="355" spans="3:3" x14ac:dyDescent="0.25">
      <c r="C355" s="114"/>
    </row>
    <row r="356" spans="3:3" x14ac:dyDescent="0.25">
      <c r="C356" s="114"/>
    </row>
    <row r="357" spans="3:3" x14ac:dyDescent="0.25">
      <c r="C357" s="114"/>
    </row>
    <row r="358" spans="3:3" x14ac:dyDescent="0.25">
      <c r="C358" s="114"/>
    </row>
    <row r="359" spans="3:3" x14ac:dyDescent="0.25">
      <c r="C359" s="114"/>
    </row>
    <row r="360" spans="3:3" x14ac:dyDescent="0.25">
      <c r="C360" s="114"/>
    </row>
    <row r="361" spans="3:3" x14ac:dyDescent="0.25">
      <c r="C361" s="114"/>
    </row>
    <row r="362" spans="3:3" x14ac:dyDescent="0.25">
      <c r="C362" s="114"/>
    </row>
    <row r="363" spans="3:3" x14ac:dyDescent="0.25">
      <c r="C363" s="114"/>
    </row>
    <row r="364" spans="3:3" x14ac:dyDescent="0.25">
      <c r="C364" s="114"/>
    </row>
    <row r="365" spans="3:3" x14ac:dyDescent="0.25">
      <c r="C365" s="114"/>
    </row>
    <row r="366" spans="3:3" x14ac:dyDescent="0.25">
      <c r="C366" s="114"/>
    </row>
    <row r="367" spans="3:3" x14ac:dyDescent="0.25">
      <c r="C367" s="114"/>
    </row>
    <row r="368" spans="3:3" x14ac:dyDescent="0.25">
      <c r="C368" s="114"/>
    </row>
    <row r="369" spans="3:3" x14ac:dyDescent="0.25">
      <c r="C369" s="114"/>
    </row>
    <row r="370" spans="3:3" x14ac:dyDescent="0.25">
      <c r="C370" s="114"/>
    </row>
    <row r="371" spans="3:3" x14ac:dyDescent="0.25">
      <c r="C371" s="114"/>
    </row>
    <row r="372" spans="3:3" x14ac:dyDescent="0.25">
      <c r="C372" s="114"/>
    </row>
    <row r="373" spans="3:3" x14ac:dyDescent="0.25">
      <c r="C373" s="114"/>
    </row>
    <row r="374" spans="3:3" x14ac:dyDescent="0.25">
      <c r="C374" s="114"/>
    </row>
    <row r="375" spans="3:3" x14ac:dyDescent="0.25">
      <c r="C375" s="114"/>
    </row>
    <row r="376" spans="3:3" x14ac:dyDescent="0.25">
      <c r="C376" s="114"/>
    </row>
    <row r="377" spans="3:3" x14ac:dyDescent="0.25">
      <c r="C377" s="114"/>
    </row>
    <row r="378" spans="3:3" x14ac:dyDescent="0.25">
      <c r="C378" s="114"/>
    </row>
    <row r="379" spans="3:3" x14ac:dyDescent="0.25">
      <c r="C379" s="114"/>
    </row>
    <row r="380" spans="3:3" x14ac:dyDescent="0.25">
      <c r="C380" s="114"/>
    </row>
    <row r="381" spans="3:3" x14ac:dyDescent="0.25">
      <c r="C381" s="114"/>
    </row>
    <row r="382" spans="3:3" x14ac:dyDescent="0.25">
      <c r="C382" s="114"/>
    </row>
    <row r="383" spans="3:3" x14ac:dyDescent="0.25">
      <c r="C383" s="114"/>
    </row>
    <row r="384" spans="3:3" x14ac:dyDescent="0.25">
      <c r="C384" s="114"/>
    </row>
    <row r="385" spans="3:3" x14ac:dyDescent="0.25">
      <c r="C385" s="114"/>
    </row>
    <row r="386" spans="3:3" x14ac:dyDescent="0.25">
      <c r="C386" s="114"/>
    </row>
    <row r="387" spans="3:3" x14ac:dyDescent="0.25">
      <c r="C387" s="114"/>
    </row>
    <row r="388" spans="3:3" x14ac:dyDescent="0.25">
      <c r="C388" s="114"/>
    </row>
    <row r="389" spans="3:3" x14ac:dyDescent="0.25">
      <c r="C389" s="114"/>
    </row>
    <row r="390" spans="3:3" x14ac:dyDescent="0.25">
      <c r="C390" s="114"/>
    </row>
    <row r="391" spans="3:3" x14ac:dyDescent="0.25">
      <c r="C391" s="114"/>
    </row>
    <row r="392" spans="3:3" x14ac:dyDescent="0.25">
      <c r="C392" s="114"/>
    </row>
    <row r="393" spans="3:3" x14ac:dyDescent="0.25">
      <c r="C393" s="114"/>
    </row>
    <row r="394" spans="3:3" x14ac:dyDescent="0.25">
      <c r="C394" s="114"/>
    </row>
    <row r="395" spans="3:3" x14ac:dyDescent="0.25">
      <c r="C395" s="114"/>
    </row>
    <row r="396" spans="3:3" x14ac:dyDescent="0.25">
      <c r="C396" s="114"/>
    </row>
    <row r="397" spans="3:3" x14ac:dyDescent="0.25">
      <c r="C397" s="114"/>
    </row>
    <row r="398" spans="3:3" x14ac:dyDescent="0.25">
      <c r="C398" s="114"/>
    </row>
    <row r="399" spans="3:3" x14ac:dyDescent="0.25">
      <c r="C399" s="114"/>
    </row>
    <row r="400" spans="3:3" x14ac:dyDescent="0.25">
      <c r="C400" s="114"/>
    </row>
    <row r="401" spans="3:3" x14ac:dyDescent="0.25">
      <c r="C401" s="114"/>
    </row>
    <row r="402" spans="3:3" x14ac:dyDescent="0.25">
      <c r="C402" s="114"/>
    </row>
    <row r="403" spans="3:3" x14ac:dyDescent="0.25">
      <c r="C403" s="114"/>
    </row>
    <row r="404" spans="3:3" x14ac:dyDescent="0.25">
      <c r="C404" s="114"/>
    </row>
    <row r="405" spans="3:3" x14ac:dyDescent="0.25">
      <c r="C405" s="114"/>
    </row>
    <row r="406" spans="3:3" x14ac:dyDescent="0.25">
      <c r="C406" s="114"/>
    </row>
    <row r="407" spans="3:3" x14ac:dyDescent="0.25">
      <c r="C407" s="114"/>
    </row>
    <row r="408" spans="3:3" x14ac:dyDescent="0.25">
      <c r="C408" s="114"/>
    </row>
    <row r="409" spans="3:3" x14ac:dyDescent="0.25">
      <c r="C409" s="114"/>
    </row>
    <row r="410" spans="3:3" x14ac:dyDescent="0.25">
      <c r="C410" s="114"/>
    </row>
    <row r="411" spans="3:3" x14ac:dyDescent="0.25">
      <c r="C411" s="114"/>
    </row>
    <row r="412" spans="3:3" x14ac:dyDescent="0.25">
      <c r="C412" s="114"/>
    </row>
    <row r="413" spans="3:3" x14ac:dyDescent="0.25">
      <c r="C413" s="114"/>
    </row>
    <row r="414" spans="3:3" x14ac:dyDescent="0.25">
      <c r="C414" s="114"/>
    </row>
    <row r="415" spans="3:3" x14ac:dyDescent="0.25">
      <c r="C415" s="114"/>
    </row>
    <row r="416" spans="3:3" x14ac:dyDescent="0.25">
      <c r="C416" s="114"/>
    </row>
    <row r="417" spans="3:3" x14ac:dyDescent="0.25">
      <c r="C417" s="114"/>
    </row>
    <row r="418" spans="3:3" x14ac:dyDescent="0.25">
      <c r="C418" s="114"/>
    </row>
    <row r="419" spans="3:3" x14ac:dyDescent="0.25">
      <c r="C419" s="114"/>
    </row>
    <row r="420" spans="3:3" x14ac:dyDescent="0.25">
      <c r="C420" s="114"/>
    </row>
    <row r="421" spans="3:3" x14ac:dyDescent="0.25">
      <c r="C421" s="114"/>
    </row>
    <row r="422" spans="3:3" x14ac:dyDescent="0.25">
      <c r="C422" s="114"/>
    </row>
    <row r="423" spans="3:3" x14ac:dyDescent="0.25">
      <c r="C423" s="114"/>
    </row>
    <row r="424" spans="3:3" x14ac:dyDescent="0.25">
      <c r="C424" s="114"/>
    </row>
    <row r="425" spans="3:3" x14ac:dyDescent="0.25">
      <c r="C425" s="114"/>
    </row>
    <row r="426" spans="3:3" x14ac:dyDescent="0.25">
      <c r="C426" s="114"/>
    </row>
    <row r="427" spans="3:3" x14ac:dyDescent="0.25">
      <c r="C427" s="114"/>
    </row>
    <row r="428" spans="3:3" x14ac:dyDescent="0.25">
      <c r="C428" s="114"/>
    </row>
    <row r="429" spans="3:3" x14ac:dyDescent="0.25">
      <c r="C429" s="114"/>
    </row>
    <row r="430" spans="3:3" x14ac:dyDescent="0.25">
      <c r="C430" s="114"/>
    </row>
    <row r="431" spans="3:3" x14ac:dyDescent="0.25">
      <c r="C431" s="114"/>
    </row>
    <row r="432" spans="3:3" x14ac:dyDescent="0.25">
      <c r="C432" s="114"/>
    </row>
    <row r="433" spans="3:3" x14ac:dyDescent="0.25">
      <c r="C433" s="114"/>
    </row>
    <row r="434" spans="3:3" x14ac:dyDescent="0.25">
      <c r="C434" s="114"/>
    </row>
    <row r="435" spans="3:3" x14ac:dyDescent="0.25">
      <c r="C435" s="114"/>
    </row>
    <row r="436" spans="3:3" x14ac:dyDescent="0.25">
      <c r="C436" s="114"/>
    </row>
    <row r="437" spans="3:3" x14ac:dyDescent="0.25">
      <c r="C437" s="114"/>
    </row>
    <row r="438" spans="3:3" x14ac:dyDescent="0.25">
      <c r="C438" s="114"/>
    </row>
    <row r="439" spans="3:3" x14ac:dyDescent="0.25">
      <c r="C439" s="114"/>
    </row>
    <row r="440" spans="3:3" x14ac:dyDescent="0.25">
      <c r="C440" s="114"/>
    </row>
    <row r="441" spans="3:3" x14ac:dyDescent="0.25">
      <c r="C441" s="114"/>
    </row>
    <row r="442" spans="3:3" x14ac:dyDescent="0.25">
      <c r="C442" s="114"/>
    </row>
    <row r="443" spans="3:3" x14ac:dyDescent="0.25">
      <c r="C443" s="114"/>
    </row>
    <row r="444" spans="3:3" x14ac:dyDescent="0.25">
      <c r="C444" s="114"/>
    </row>
    <row r="445" spans="3:3" x14ac:dyDescent="0.25">
      <c r="C445" s="114"/>
    </row>
    <row r="446" spans="3:3" x14ac:dyDescent="0.25">
      <c r="C446" s="114"/>
    </row>
    <row r="447" spans="3:3" x14ac:dyDescent="0.25">
      <c r="C447" s="114"/>
    </row>
    <row r="448" spans="3:3" x14ac:dyDescent="0.25">
      <c r="C448" s="114"/>
    </row>
    <row r="449" spans="3:3" x14ac:dyDescent="0.25">
      <c r="C449" s="114"/>
    </row>
    <row r="450" spans="3:3" x14ac:dyDescent="0.25">
      <c r="C450" s="114"/>
    </row>
    <row r="451" spans="3:3" x14ac:dyDescent="0.25">
      <c r="C451" s="114"/>
    </row>
    <row r="452" spans="3:3" x14ac:dyDescent="0.25">
      <c r="C452" s="114"/>
    </row>
    <row r="453" spans="3:3" x14ac:dyDescent="0.25">
      <c r="C453" s="114"/>
    </row>
    <row r="454" spans="3:3" x14ac:dyDescent="0.25">
      <c r="C454" s="114"/>
    </row>
    <row r="455" spans="3:3" x14ac:dyDescent="0.25">
      <c r="C455" s="114"/>
    </row>
    <row r="456" spans="3:3" x14ac:dyDescent="0.25">
      <c r="C456" s="114"/>
    </row>
    <row r="457" spans="3:3" x14ac:dyDescent="0.25">
      <c r="C457" s="114"/>
    </row>
    <row r="458" spans="3:3" x14ac:dyDescent="0.25">
      <c r="C458" s="114"/>
    </row>
    <row r="459" spans="3:3" x14ac:dyDescent="0.25">
      <c r="C459" s="114"/>
    </row>
    <row r="460" spans="3:3" x14ac:dyDescent="0.25">
      <c r="C460" s="114"/>
    </row>
    <row r="461" spans="3:3" x14ac:dyDescent="0.25">
      <c r="C461" s="114"/>
    </row>
    <row r="462" spans="3:3" x14ac:dyDescent="0.25">
      <c r="C462" s="114"/>
    </row>
    <row r="463" spans="3:3" x14ac:dyDescent="0.25">
      <c r="C463" s="114"/>
    </row>
    <row r="464" spans="3:3" x14ac:dyDescent="0.25">
      <c r="C464" s="114"/>
    </row>
    <row r="465" spans="3:3" x14ac:dyDescent="0.25">
      <c r="C465" s="114"/>
    </row>
    <row r="466" spans="3:3" x14ac:dyDescent="0.25">
      <c r="C466" s="114"/>
    </row>
    <row r="467" spans="3:3" x14ac:dyDescent="0.25">
      <c r="C467" s="114"/>
    </row>
    <row r="468" spans="3:3" x14ac:dyDescent="0.25">
      <c r="C468" s="114"/>
    </row>
    <row r="469" spans="3:3" x14ac:dyDescent="0.25">
      <c r="C469" s="114"/>
    </row>
    <row r="470" spans="3:3" x14ac:dyDescent="0.25">
      <c r="C470" s="114"/>
    </row>
    <row r="471" spans="3:3" x14ac:dyDescent="0.25">
      <c r="C471" s="114"/>
    </row>
    <row r="472" spans="3:3" x14ac:dyDescent="0.25">
      <c r="C472" s="114"/>
    </row>
    <row r="473" spans="3:3" x14ac:dyDescent="0.25">
      <c r="C473" s="114"/>
    </row>
    <row r="474" spans="3:3" x14ac:dyDescent="0.25">
      <c r="C474" s="114"/>
    </row>
    <row r="475" spans="3:3" x14ac:dyDescent="0.25">
      <c r="C475" s="114"/>
    </row>
    <row r="476" spans="3:3" x14ac:dyDescent="0.25">
      <c r="C476" s="114"/>
    </row>
    <row r="477" spans="3:3" x14ac:dyDescent="0.25">
      <c r="C477" s="114"/>
    </row>
    <row r="478" spans="3:3" x14ac:dyDescent="0.25">
      <c r="C478" s="114"/>
    </row>
    <row r="479" spans="3:3" x14ac:dyDescent="0.25">
      <c r="C479" s="114"/>
    </row>
    <row r="480" spans="3:3" x14ac:dyDescent="0.25">
      <c r="C480" s="114"/>
    </row>
    <row r="481" spans="3:3" x14ac:dyDescent="0.25">
      <c r="C481" s="114"/>
    </row>
    <row r="482" spans="3:3" x14ac:dyDescent="0.25">
      <c r="C482" s="114"/>
    </row>
    <row r="483" spans="3:3" x14ac:dyDescent="0.25">
      <c r="C483" s="114"/>
    </row>
    <row r="484" spans="3:3" x14ac:dyDescent="0.25">
      <c r="C484" s="114"/>
    </row>
    <row r="485" spans="3:3" x14ac:dyDescent="0.25">
      <c r="C485" s="114"/>
    </row>
    <row r="486" spans="3:3" x14ac:dyDescent="0.25">
      <c r="C486" s="114"/>
    </row>
    <row r="487" spans="3:3" x14ac:dyDescent="0.25">
      <c r="C487" s="114"/>
    </row>
    <row r="488" spans="3:3" x14ac:dyDescent="0.25">
      <c r="C488" s="114"/>
    </row>
    <row r="489" spans="3:3" x14ac:dyDescent="0.25">
      <c r="C489" s="114"/>
    </row>
    <row r="490" spans="3:3" x14ac:dyDescent="0.25">
      <c r="C490" s="11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4"/>
  <sheetViews>
    <sheetView topLeftCell="A22" workbookViewId="0">
      <selection activeCell="P31" sqref="P31"/>
    </sheetView>
  </sheetViews>
  <sheetFormatPr defaultRowHeight="15" x14ac:dyDescent="0.25"/>
  <sheetData>
    <row r="1" spans="1:20" x14ac:dyDescent="0.25">
      <c r="A1" s="2"/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15.75" x14ac:dyDescent="0.25">
      <c r="A2" s="4"/>
      <c r="B2" s="4"/>
      <c r="C2" s="5"/>
      <c r="D2" s="126" t="s">
        <v>8</v>
      </c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</row>
    <row r="3" spans="1:20" ht="15.75" x14ac:dyDescent="0.25">
      <c r="A3" s="4"/>
      <c r="B3" s="4"/>
      <c r="C3" s="5"/>
      <c r="D3" s="126" t="s">
        <v>9</v>
      </c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</row>
    <row r="4" spans="1:20" ht="15.75" thickBot="1" x14ac:dyDescent="0.3">
      <c r="A4" s="4"/>
      <c r="B4" s="4"/>
      <c r="C4" s="5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1:20" ht="15.75" thickBot="1" x14ac:dyDescent="0.3">
      <c r="A5" s="6"/>
      <c r="B5" s="6"/>
      <c r="C5" s="127" t="s">
        <v>10</v>
      </c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9"/>
    </row>
    <row r="6" spans="1:20" ht="15.75" thickBot="1" x14ac:dyDescent="0.3">
      <c r="A6" s="7" t="s">
        <v>11</v>
      </c>
      <c r="B6" s="8" t="s">
        <v>12</v>
      </c>
      <c r="C6" s="9" t="s">
        <v>22</v>
      </c>
      <c r="D6" s="10" t="s">
        <v>13</v>
      </c>
      <c r="E6" s="11" t="s">
        <v>23</v>
      </c>
      <c r="F6" s="11" t="s">
        <v>14</v>
      </c>
      <c r="G6" s="11" t="s">
        <v>24</v>
      </c>
      <c r="H6" s="11" t="s">
        <v>25</v>
      </c>
      <c r="I6" s="11" t="s">
        <v>15</v>
      </c>
      <c r="J6" s="11" t="s">
        <v>26</v>
      </c>
      <c r="K6" s="11" t="s">
        <v>16</v>
      </c>
      <c r="L6" s="11" t="s">
        <v>27</v>
      </c>
      <c r="M6" s="11" t="s">
        <v>17</v>
      </c>
      <c r="N6" s="11" t="s">
        <v>28</v>
      </c>
      <c r="O6" s="11" t="s">
        <v>18</v>
      </c>
      <c r="P6" s="11" t="s">
        <v>29</v>
      </c>
      <c r="Q6" s="11" t="s">
        <v>30</v>
      </c>
      <c r="R6" s="11" t="s">
        <v>31</v>
      </c>
      <c r="S6" s="11" t="s">
        <v>32</v>
      </c>
      <c r="T6" s="12" t="s">
        <v>19</v>
      </c>
    </row>
    <row r="7" spans="1:20" ht="15.75" thickTop="1" x14ac:dyDescent="0.25">
      <c r="A7" s="13">
        <v>0.5</v>
      </c>
      <c r="B7" s="14">
        <v>21.3</v>
      </c>
      <c r="C7" s="15">
        <v>1.65</v>
      </c>
      <c r="D7" s="16">
        <v>1.65</v>
      </c>
      <c r="E7" s="17">
        <v>2.11</v>
      </c>
      <c r="F7" s="17">
        <v>2.11</v>
      </c>
      <c r="G7" s="18"/>
      <c r="H7" s="19">
        <v>2.41</v>
      </c>
      <c r="I7" s="17">
        <v>2.77</v>
      </c>
      <c r="J7" s="17">
        <v>2.77</v>
      </c>
      <c r="K7" s="17">
        <v>2.77</v>
      </c>
      <c r="L7" s="20"/>
      <c r="M7" s="17">
        <v>3.73</v>
      </c>
      <c r="N7" s="17">
        <v>3.73</v>
      </c>
      <c r="O7" s="17">
        <v>3.73</v>
      </c>
      <c r="P7" s="20"/>
      <c r="Q7" s="20"/>
      <c r="R7" s="20"/>
      <c r="S7" s="17">
        <v>4.78</v>
      </c>
      <c r="T7" s="21">
        <v>7.47</v>
      </c>
    </row>
    <row r="8" spans="1:20" x14ac:dyDescent="0.25">
      <c r="A8" s="22">
        <v>0.75</v>
      </c>
      <c r="B8" s="23">
        <v>26.7</v>
      </c>
      <c r="C8" s="24">
        <v>1.65</v>
      </c>
      <c r="D8" s="25">
        <v>1.65</v>
      </c>
      <c r="E8" s="26">
        <v>2.11</v>
      </c>
      <c r="F8" s="26">
        <v>2.11</v>
      </c>
      <c r="G8" s="20"/>
      <c r="H8" s="27">
        <v>2.41</v>
      </c>
      <c r="I8" s="26">
        <v>2.87</v>
      </c>
      <c r="J8" s="26">
        <v>2.87</v>
      </c>
      <c r="K8" s="26">
        <v>2.87</v>
      </c>
      <c r="L8" s="20"/>
      <c r="M8" s="26">
        <v>3.91</v>
      </c>
      <c r="N8" s="26">
        <v>3.91</v>
      </c>
      <c r="O8" s="26">
        <v>3.91</v>
      </c>
      <c r="P8" s="20"/>
      <c r="Q8" s="20"/>
      <c r="R8" s="20"/>
      <c r="S8" s="26">
        <v>5.56</v>
      </c>
      <c r="T8" s="28">
        <v>7.82</v>
      </c>
    </row>
    <row r="9" spans="1:20" x14ac:dyDescent="0.25">
      <c r="A9" s="22">
        <v>1</v>
      </c>
      <c r="B9" s="23">
        <v>33.4</v>
      </c>
      <c r="C9" s="24">
        <v>1.65</v>
      </c>
      <c r="D9" s="25">
        <v>1.65</v>
      </c>
      <c r="E9" s="26">
        <v>2.77</v>
      </c>
      <c r="F9" s="26">
        <v>2.77</v>
      </c>
      <c r="G9" s="20"/>
      <c r="H9" s="29">
        <v>2.9</v>
      </c>
      <c r="I9" s="26">
        <v>3.38</v>
      </c>
      <c r="J9" s="26">
        <v>3.38</v>
      </c>
      <c r="K9" s="26">
        <v>3.38</v>
      </c>
      <c r="L9" s="20"/>
      <c r="M9" s="26">
        <v>4.55</v>
      </c>
      <c r="N9" s="26">
        <v>4.55</v>
      </c>
      <c r="O9" s="26">
        <v>4.55</v>
      </c>
      <c r="P9" s="20"/>
      <c r="Q9" s="20"/>
      <c r="R9" s="20"/>
      <c r="S9" s="26">
        <v>6.35</v>
      </c>
      <c r="T9" s="28">
        <v>9.09</v>
      </c>
    </row>
    <row r="10" spans="1:20" x14ac:dyDescent="0.25">
      <c r="A10" s="22">
        <v>1.5</v>
      </c>
      <c r="B10" s="23">
        <v>48.3</v>
      </c>
      <c r="C10" s="24">
        <v>1.65</v>
      </c>
      <c r="D10" s="25">
        <v>1.65</v>
      </c>
      <c r="E10" s="26">
        <v>2.77</v>
      </c>
      <c r="F10" s="26">
        <v>2.77</v>
      </c>
      <c r="G10" s="20"/>
      <c r="H10" s="27">
        <v>3.18</v>
      </c>
      <c r="I10" s="26">
        <v>3.68</v>
      </c>
      <c r="J10" s="26">
        <v>3.68</v>
      </c>
      <c r="K10" s="26">
        <v>3.68</v>
      </c>
      <c r="L10" s="20"/>
      <c r="M10" s="26">
        <v>5.08</v>
      </c>
      <c r="N10" s="26">
        <v>5.08</v>
      </c>
      <c r="O10" s="26">
        <v>5.08</v>
      </c>
      <c r="P10" s="20"/>
      <c r="Q10" s="20"/>
      <c r="R10" s="20"/>
      <c r="S10" s="26">
        <v>7.14</v>
      </c>
      <c r="T10" s="28">
        <v>10.15</v>
      </c>
    </row>
    <row r="11" spans="1:20" x14ac:dyDescent="0.25">
      <c r="A11" s="22">
        <v>2</v>
      </c>
      <c r="B11" s="23">
        <v>60.3</v>
      </c>
      <c r="C11" s="24">
        <v>1.65</v>
      </c>
      <c r="D11" s="25">
        <v>1.65</v>
      </c>
      <c r="E11" s="26">
        <v>2.77</v>
      </c>
      <c r="F11" s="26">
        <v>2.77</v>
      </c>
      <c r="G11" s="20"/>
      <c r="H11" s="27">
        <v>3.18</v>
      </c>
      <c r="I11" s="26">
        <v>3.91</v>
      </c>
      <c r="J11" s="26">
        <v>3.91</v>
      </c>
      <c r="K11" s="26">
        <v>3.91</v>
      </c>
      <c r="L11" s="20"/>
      <c r="M11" s="26">
        <v>5.54</v>
      </c>
      <c r="N11" s="26">
        <v>5.54</v>
      </c>
      <c r="O11" s="26">
        <v>5.54</v>
      </c>
      <c r="P11" s="20"/>
      <c r="Q11" s="20"/>
      <c r="R11" s="20"/>
      <c r="S11" s="26">
        <v>8.74</v>
      </c>
      <c r="T11" s="28">
        <v>11.07</v>
      </c>
    </row>
    <row r="12" spans="1:20" x14ac:dyDescent="0.25">
      <c r="A12" s="22">
        <v>2.5</v>
      </c>
      <c r="B12" s="23">
        <v>73</v>
      </c>
      <c r="C12" s="24">
        <v>2.11</v>
      </c>
      <c r="D12" s="25">
        <v>2.11</v>
      </c>
      <c r="E12" s="26">
        <v>3.05</v>
      </c>
      <c r="F12" s="26">
        <v>3.05</v>
      </c>
      <c r="G12" s="20"/>
      <c r="H12" s="27">
        <v>4.78</v>
      </c>
      <c r="I12" s="26">
        <v>5.16</v>
      </c>
      <c r="J12" s="26">
        <v>5.16</v>
      </c>
      <c r="K12" s="26">
        <v>5.16</v>
      </c>
      <c r="L12" s="20"/>
      <c r="M12" s="26">
        <v>7.01</v>
      </c>
      <c r="N12" s="26">
        <v>7.01</v>
      </c>
      <c r="O12" s="26">
        <v>7.01</v>
      </c>
      <c r="P12" s="20"/>
      <c r="Q12" s="20"/>
      <c r="R12" s="20"/>
      <c r="S12" s="26">
        <v>9.5299999999999994</v>
      </c>
      <c r="T12" s="28">
        <v>14.02</v>
      </c>
    </row>
    <row r="13" spans="1:20" x14ac:dyDescent="0.25">
      <c r="A13" s="30">
        <v>3</v>
      </c>
      <c r="B13" s="23">
        <v>88.9</v>
      </c>
      <c r="C13" s="24">
        <v>2.11</v>
      </c>
      <c r="D13" s="25">
        <v>2.11</v>
      </c>
      <c r="E13" s="26">
        <v>3.05</v>
      </c>
      <c r="F13" s="26">
        <v>3.05</v>
      </c>
      <c r="G13" s="20"/>
      <c r="H13" s="27">
        <v>4.78</v>
      </c>
      <c r="I13" s="26">
        <v>5.49</v>
      </c>
      <c r="J13" s="26">
        <v>5.49</v>
      </c>
      <c r="K13" s="26">
        <v>5.49</v>
      </c>
      <c r="L13" s="20"/>
      <c r="M13" s="26">
        <v>7.62</v>
      </c>
      <c r="N13" s="26">
        <v>7.62</v>
      </c>
      <c r="O13" s="26">
        <v>7.62</v>
      </c>
      <c r="P13" s="20"/>
      <c r="Q13" s="20"/>
      <c r="R13" s="20"/>
      <c r="S13" s="26">
        <v>11.13</v>
      </c>
      <c r="T13" s="28">
        <v>15.24</v>
      </c>
    </row>
    <row r="14" spans="1:20" x14ac:dyDescent="0.25">
      <c r="A14" s="30">
        <v>4</v>
      </c>
      <c r="B14" s="23">
        <v>114.3</v>
      </c>
      <c r="C14" s="24">
        <v>2.11</v>
      </c>
      <c r="D14" s="25">
        <v>2.11</v>
      </c>
      <c r="E14" s="26">
        <v>3.05</v>
      </c>
      <c r="F14" s="26">
        <v>3.05</v>
      </c>
      <c r="G14" s="20"/>
      <c r="H14" s="27">
        <v>4.78</v>
      </c>
      <c r="I14" s="26">
        <v>6.02</v>
      </c>
      <c r="J14" s="26">
        <v>6.02</v>
      </c>
      <c r="K14" s="26">
        <v>6.02</v>
      </c>
      <c r="L14" s="20"/>
      <c r="M14" s="26">
        <v>8.56</v>
      </c>
      <c r="N14" s="26">
        <v>8.56</v>
      </c>
      <c r="O14" s="26">
        <v>8.56</v>
      </c>
      <c r="P14" s="20"/>
      <c r="Q14" s="26">
        <v>11.13</v>
      </c>
      <c r="R14" s="20"/>
      <c r="S14" s="26">
        <v>13.49</v>
      </c>
      <c r="T14" s="28">
        <v>17.12</v>
      </c>
    </row>
    <row r="15" spans="1:20" x14ac:dyDescent="0.25">
      <c r="A15" s="30">
        <v>6</v>
      </c>
      <c r="B15" s="23">
        <v>168.3</v>
      </c>
      <c r="C15" s="24">
        <v>2.77</v>
      </c>
      <c r="D15" s="25">
        <v>2.77</v>
      </c>
      <c r="E15" s="31">
        <v>3.4</v>
      </c>
      <c r="F15" s="31">
        <v>3.4</v>
      </c>
      <c r="G15" s="20"/>
      <c r="H15" s="20"/>
      <c r="I15" s="26">
        <v>7.11</v>
      </c>
      <c r="J15" s="26">
        <v>7.11</v>
      </c>
      <c r="K15" s="26">
        <v>7.11</v>
      </c>
      <c r="L15" s="20"/>
      <c r="M15" s="26">
        <v>10.97</v>
      </c>
      <c r="N15" s="26">
        <v>10.97</v>
      </c>
      <c r="O15" s="26">
        <v>10.97</v>
      </c>
      <c r="P15" s="20"/>
      <c r="Q15" s="26">
        <v>14.27</v>
      </c>
      <c r="R15" s="20"/>
      <c r="S15" s="26">
        <v>18.260000000000002</v>
      </c>
      <c r="T15" s="28">
        <v>21.95</v>
      </c>
    </row>
    <row r="16" spans="1:20" x14ac:dyDescent="0.25">
      <c r="A16" s="30">
        <v>8</v>
      </c>
      <c r="B16" s="23">
        <v>219.1</v>
      </c>
      <c r="C16" s="24">
        <v>2.77</v>
      </c>
      <c r="D16" s="25">
        <v>2.77</v>
      </c>
      <c r="E16" s="26">
        <v>3.76</v>
      </c>
      <c r="F16" s="26">
        <v>3.76</v>
      </c>
      <c r="G16" s="26">
        <v>6.35</v>
      </c>
      <c r="H16" s="26">
        <v>7.04</v>
      </c>
      <c r="I16" s="26">
        <v>8.18</v>
      </c>
      <c r="J16" s="26">
        <v>8.18</v>
      </c>
      <c r="K16" s="26">
        <v>8.18</v>
      </c>
      <c r="L16" s="26">
        <v>10.31</v>
      </c>
      <c r="M16" s="31">
        <v>12.7</v>
      </c>
      <c r="N16" s="31">
        <v>12.7</v>
      </c>
      <c r="O16" s="31">
        <v>12.7</v>
      </c>
      <c r="P16" s="26">
        <v>15.09</v>
      </c>
      <c r="Q16" s="26">
        <v>18.260000000000002</v>
      </c>
      <c r="R16" s="26">
        <v>20.62</v>
      </c>
      <c r="S16" s="26">
        <v>23.01</v>
      </c>
      <c r="T16" s="28">
        <v>22.23</v>
      </c>
    </row>
    <row r="17" spans="1:20" x14ac:dyDescent="0.25">
      <c r="A17" s="30">
        <v>10</v>
      </c>
      <c r="B17" s="23">
        <v>273</v>
      </c>
      <c r="C17" s="32">
        <v>3.4</v>
      </c>
      <c r="D17" s="33">
        <v>3.4</v>
      </c>
      <c r="E17" s="26">
        <v>4.1900000000000004</v>
      </c>
      <c r="F17" s="26">
        <v>4.1900000000000004</v>
      </c>
      <c r="G17" s="26">
        <v>6.35</v>
      </c>
      <c r="H17" s="31">
        <v>7.8</v>
      </c>
      <c r="I17" s="26">
        <v>9.27</v>
      </c>
      <c r="J17" s="26">
        <v>9.27</v>
      </c>
      <c r="K17" s="26">
        <v>9.27</v>
      </c>
      <c r="L17" s="31">
        <v>12.7</v>
      </c>
      <c r="M17" s="31">
        <v>12.7</v>
      </c>
      <c r="N17" s="26">
        <v>15.09</v>
      </c>
      <c r="O17" s="31">
        <v>12.7</v>
      </c>
      <c r="P17" s="26">
        <v>18.260000000000002</v>
      </c>
      <c r="Q17" s="26">
        <v>21.44</v>
      </c>
      <c r="R17" s="31">
        <v>25.4</v>
      </c>
      <c r="S17" s="26">
        <v>28.58</v>
      </c>
      <c r="T17" s="34">
        <v>25.4</v>
      </c>
    </row>
    <row r="18" spans="1:20" x14ac:dyDescent="0.25">
      <c r="A18" s="30">
        <v>12</v>
      </c>
      <c r="B18" s="23">
        <v>323.8</v>
      </c>
      <c r="C18" s="24">
        <v>3.96</v>
      </c>
      <c r="D18" s="25">
        <v>3.96</v>
      </c>
      <c r="E18" s="26">
        <v>4.57</v>
      </c>
      <c r="F18" s="26">
        <v>4.57</v>
      </c>
      <c r="G18" s="26">
        <v>6.35</v>
      </c>
      <c r="H18" s="26">
        <v>8.3800000000000008</v>
      </c>
      <c r="I18" s="26">
        <v>9.5299999999999994</v>
      </c>
      <c r="J18" s="26">
        <v>10.31</v>
      </c>
      <c r="K18" s="26">
        <v>9.5299999999999994</v>
      </c>
      <c r="L18" s="26">
        <v>14.27</v>
      </c>
      <c r="M18" s="31">
        <v>12.7</v>
      </c>
      <c r="N18" s="26">
        <v>17.48</v>
      </c>
      <c r="O18" s="31">
        <v>12.7</v>
      </c>
      <c r="P18" s="26">
        <v>21.44</v>
      </c>
      <c r="Q18" s="31">
        <v>25.4</v>
      </c>
      <c r="R18" s="26">
        <v>28.58</v>
      </c>
      <c r="S18" s="26">
        <v>33.32</v>
      </c>
      <c r="T18" s="34">
        <v>25.4</v>
      </c>
    </row>
    <row r="19" spans="1:20" x14ac:dyDescent="0.25">
      <c r="A19" s="30">
        <v>14</v>
      </c>
      <c r="B19" s="23">
        <v>355.6</v>
      </c>
      <c r="C19" s="24">
        <v>3.96</v>
      </c>
      <c r="D19" s="25">
        <v>3.96</v>
      </c>
      <c r="E19" s="26">
        <v>6.35</v>
      </c>
      <c r="F19" s="26">
        <v>4.78</v>
      </c>
      <c r="G19" s="26">
        <v>7.92</v>
      </c>
      <c r="H19" s="26">
        <v>9.5299999999999994</v>
      </c>
      <c r="I19" s="26">
        <v>9.5299999999999994</v>
      </c>
      <c r="J19" s="26">
        <v>11.13</v>
      </c>
      <c r="K19" s="26">
        <v>9.5299999999999994</v>
      </c>
      <c r="L19" s="26">
        <v>15.09</v>
      </c>
      <c r="M19" s="31">
        <v>12.7</v>
      </c>
      <c r="N19" s="26">
        <v>19.05</v>
      </c>
      <c r="O19" s="26">
        <v>12.7</v>
      </c>
      <c r="P19" s="26">
        <v>23.83</v>
      </c>
      <c r="Q19" s="26">
        <v>27.79</v>
      </c>
      <c r="R19" s="26">
        <v>31.75</v>
      </c>
      <c r="S19" s="26">
        <v>35.71</v>
      </c>
      <c r="T19" s="35"/>
    </row>
    <row r="20" spans="1:20" x14ac:dyDescent="0.25">
      <c r="A20" s="30">
        <v>16</v>
      </c>
      <c r="B20" s="23">
        <v>406.4</v>
      </c>
      <c r="C20" s="24">
        <v>4.1900000000000004</v>
      </c>
      <c r="D20" s="25">
        <v>4.1900000000000004</v>
      </c>
      <c r="E20" s="26">
        <v>6.35</v>
      </c>
      <c r="F20" s="26">
        <v>4.78</v>
      </c>
      <c r="G20" s="26">
        <v>7.92</v>
      </c>
      <c r="H20" s="26">
        <v>9.5299999999999994</v>
      </c>
      <c r="I20" s="26">
        <v>9.5299999999999994</v>
      </c>
      <c r="J20" s="31">
        <v>12.7</v>
      </c>
      <c r="K20" s="26">
        <v>9.5299999999999994</v>
      </c>
      <c r="L20" s="26">
        <v>16.66</v>
      </c>
      <c r="M20" s="31">
        <v>12.7</v>
      </c>
      <c r="N20" s="26">
        <v>21.44</v>
      </c>
      <c r="O20" s="26">
        <v>12.7</v>
      </c>
      <c r="P20" s="26">
        <v>26.19</v>
      </c>
      <c r="Q20" s="26">
        <v>30.96</v>
      </c>
      <c r="R20" s="26">
        <v>36.53</v>
      </c>
      <c r="S20" s="26">
        <v>40.49</v>
      </c>
      <c r="T20" s="35"/>
    </row>
    <row r="21" spans="1:20" x14ac:dyDescent="0.25">
      <c r="A21" s="30">
        <v>18</v>
      </c>
      <c r="B21" s="23">
        <v>457</v>
      </c>
      <c r="C21" s="24">
        <v>4.1900000000000004</v>
      </c>
      <c r="D21" s="25">
        <v>4.1900000000000004</v>
      </c>
      <c r="E21" s="26">
        <v>6.35</v>
      </c>
      <c r="F21" s="26">
        <v>4.78</v>
      </c>
      <c r="G21" s="26">
        <v>7.92</v>
      </c>
      <c r="H21" s="26">
        <v>11.13</v>
      </c>
      <c r="I21" s="26">
        <v>9.5299999999999994</v>
      </c>
      <c r="J21" s="26">
        <v>14.27</v>
      </c>
      <c r="K21" s="26">
        <v>9.5299999999999994</v>
      </c>
      <c r="L21" s="26">
        <v>19.05</v>
      </c>
      <c r="M21" s="31">
        <v>12.7</v>
      </c>
      <c r="N21" s="26">
        <v>23.83</v>
      </c>
      <c r="O21" s="26">
        <v>12.7</v>
      </c>
      <c r="P21" s="26">
        <v>29.36</v>
      </c>
      <c r="Q21" s="26">
        <v>34.93</v>
      </c>
      <c r="R21" s="26">
        <v>39.67</v>
      </c>
      <c r="S21" s="26">
        <v>45.24</v>
      </c>
      <c r="T21" s="35"/>
    </row>
    <row r="22" spans="1:20" x14ac:dyDescent="0.25">
      <c r="A22" s="30">
        <v>20</v>
      </c>
      <c r="B22" s="23">
        <v>508</v>
      </c>
      <c r="C22" s="24">
        <v>4.78</v>
      </c>
      <c r="D22" s="25">
        <v>4.78</v>
      </c>
      <c r="E22" s="26">
        <v>6.35</v>
      </c>
      <c r="F22" s="26">
        <v>5.54</v>
      </c>
      <c r="G22" s="26">
        <v>9.5299999999999994</v>
      </c>
      <c r="H22" s="31">
        <v>12.7</v>
      </c>
      <c r="I22" s="26">
        <v>9.5299999999999994</v>
      </c>
      <c r="J22" s="26">
        <v>15.09</v>
      </c>
      <c r="K22" s="26">
        <v>9.5299999999999994</v>
      </c>
      <c r="L22" s="26">
        <v>20.62</v>
      </c>
      <c r="M22" s="31">
        <v>12.7</v>
      </c>
      <c r="N22" s="26">
        <v>26.19</v>
      </c>
      <c r="O22" s="26">
        <v>12.7</v>
      </c>
      <c r="P22" s="26">
        <v>32.54</v>
      </c>
      <c r="Q22" s="31">
        <v>38.1</v>
      </c>
      <c r="R22" s="26">
        <v>44.45</v>
      </c>
      <c r="S22" s="26">
        <v>50.01</v>
      </c>
      <c r="T22" s="35"/>
    </row>
    <row r="23" spans="1:20" x14ac:dyDescent="0.25">
      <c r="A23" s="30">
        <v>22</v>
      </c>
      <c r="B23" s="23">
        <v>559</v>
      </c>
      <c r="C23" s="24">
        <v>4.78</v>
      </c>
      <c r="D23" s="25">
        <v>4.78</v>
      </c>
      <c r="E23" s="26">
        <v>6.35</v>
      </c>
      <c r="F23" s="26">
        <v>5.54</v>
      </c>
      <c r="G23" s="26">
        <v>9.5299999999999994</v>
      </c>
      <c r="H23" s="31">
        <v>12.7</v>
      </c>
      <c r="I23" s="26">
        <v>9.5299999999999994</v>
      </c>
      <c r="J23" s="20"/>
      <c r="K23" s="20"/>
      <c r="L23" s="26">
        <v>22.23</v>
      </c>
      <c r="M23" s="31">
        <v>12.7</v>
      </c>
      <c r="N23" s="26">
        <v>28.58</v>
      </c>
      <c r="O23" s="20"/>
      <c r="P23" s="26">
        <v>34.93</v>
      </c>
      <c r="Q23" s="26">
        <v>41.28</v>
      </c>
      <c r="R23" s="26">
        <v>47.63</v>
      </c>
      <c r="S23" s="26">
        <v>53.98</v>
      </c>
      <c r="T23" s="35"/>
    </row>
    <row r="24" spans="1:20" x14ac:dyDescent="0.25">
      <c r="A24" s="30">
        <v>24</v>
      </c>
      <c r="B24" s="23">
        <v>610</v>
      </c>
      <c r="C24" s="24">
        <v>5.54</v>
      </c>
      <c r="D24" s="25">
        <v>5.54</v>
      </c>
      <c r="E24" s="26">
        <v>6.35</v>
      </c>
      <c r="F24" s="26">
        <v>6.35</v>
      </c>
      <c r="G24" s="26">
        <v>9.5299999999999994</v>
      </c>
      <c r="H24" s="26">
        <v>14.27</v>
      </c>
      <c r="I24" s="26">
        <v>9.5299999999999994</v>
      </c>
      <c r="J24" s="26">
        <v>17.48</v>
      </c>
      <c r="K24" s="26">
        <v>9.5299999999999994</v>
      </c>
      <c r="L24" s="26">
        <v>24.61</v>
      </c>
      <c r="M24" s="31">
        <v>12.7</v>
      </c>
      <c r="N24" s="26">
        <v>30.96</v>
      </c>
      <c r="O24" s="26">
        <v>12.7</v>
      </c>
      <c r="P24" s="26">
        <v>38.89</v>
      </c>
      <c r="Q24" s="26">
        <v>46.02</v>
      </c>
      <c r="R24" s="26">
        <v>52.37</v>
      </c>
      <c r="S24" s="26">
        <v>59.54</v>
      </c>
      <c r="T24" s="35"/>
    </row>
    <row r="25" spans="1:20" x14ac:dyDescent="0.25">
      <c r="A25" s="30">
        <v>26</v>
      </c>
      <c r="B25" s="23">
        <v>660</v>
      </c>
      <c r="C25" s="20"/>
      <c r="D25" s="20"/>
      <c r="E25" s="26">
        <v>7.92</v>
      </c>
      <c r="F25" s="20"/>
      <c r="G25" s="31">
        <v>12.7</v>
      </c>
      <c r="H25" s="20"/>
      <c r="I25" s="26">
        <v>9.5299999999999994</v>
      </c>
      <c r="J25" s="20"/>
      <c r="K25" s="20"/>
      <c r="L25" s="20"/>
      <c r="M25" s="31">
        <v>12.7</v>
      </c>
      <c r="N25" s="20"/>
      <c r="O25" s="20"/>
      <c r="P25" s="20"/>
      <c r="Q25" s="20"/>
      <c r="R25" s="20"/>
      <c r="S25" s="20"/>
      <c r="T25" s="35"/>
    </row>
    <row r="26" spans="1:20" x14ac:dyDescent="0.25">
      <c r="A26" s="30">
        <v>28</v>
      </c>
      <c r="B26" s="23">
        <v>711</v>
      </c>
      <c r="C26" s="20"/>
      <c r="D26" s="20"/>
      <c r="E26" s="26">
        <v>7.92</v>
      </c>
      <c r="F26" s="20"/>
      <c r="G26" s="31">
        <v>12.7</v>
      </c>
      <c r="H26" s="26">
        <v>15.88</v>
      </c>
      <c r="I26" s="26">
        <v>9.5299999999999994</v>
      </c>
      <c r="J26" s="20"/>
      <c r="K26" s="20"/>
      <c r="L26" s="20"/>
      <c r="M26" s="31">
        <v>12.7</v>
      </c>
      <c r="N26" s="20"/>
      <c r="O26" s="20"/>
      <c r="P26" s="20"/>
      <c r="Q26" s="20"/>
      <c r="R26" s="20"/>
      <c r="S26" s="20"/>
      <c r="T26" s="35"/>
    </row>
    <row r="27" spans="1:20" x14ac:dyDescent="0.25">
      <c r="A27" s="30">
        <v>30</v>
      </c>
      <c r="B27" s="23">
        <v>762</v>
      </c>
      <c r="C27" s="24">
        <v>6.35</v>
      </c>
      <c r="D27" s="25">
        <v>6.35</v>
      </c>
      <c r="E27" s="26">
        <v>7.92</v>
      </c>
      <c r="F27" s="26">
        <v>7.92</v>
      </c>
      <c r="G27" s="31">
        <v>12.7</v>
      </c>
      <c r="H27" s="26">
        <v>15.88</v>
      </c>
      <c r="I27" s="26">
        <v>9.5299999999999994</v>
      </c>
      <c r="J27" s="20"/>
      <c r="K27" s="20"/>
      <c r="L27" s="20"/>
      <c r="M27" s="31">
        <v>12.7</v>
      </c>
      <c r="N27" s="20"/>
      <c r="O27" s="20"/>
      <c r="P27" s="20"/>
      <c r="Q27" s="20"/>
      <c r="R27" s="20"/>
      <c r="S27" s="20"/>
      <c r="T27" s="35"/>
    </row>
    <row r="28" spans="1:20" x14ac:dyDescent="0.25">
      <c r="A28" s="30">
        <v>32</v>
      </c>
      <c r="B28" s="23">
        <v>813</v>
      </c>
      <c r="C28" s="20"/>
      <c r="D28" s="20"/>
      <c r="E28" s="26">
        <v>7.92</v>
      </c>
      <c r="F28" s="20"/>
      <c r="G28" s="31">
        <v>12.7</v>
      </c>
      <c r="H28" s="26">
        <v>15.88</v>
      </c>
      <c r="I28" s="26">
        <v>9.5299999999999994</v>
      </c>
      <c r="J28" s="26">
        <v>17.48</v>
      </c>
      <c r="K28" s="20"/>
      <c r="L28" s="20"/>
      <c r="M28" s="31">
        <v>12.7</v>
      </c>
      <c r="N28" s="20"/>
      <c r="O28" s="20"/>
      <c r="P28" s="20"/>
      <c r="Q28" s="20"/>
      <c r="R28" s="20"/>
      <c r="S28" s="20"/>
      <c r="T28" s="35"/>
    </row>
    <row r="29" spans="1:20" x14ac:dyDescent="0.25">
      <c r="A29" s="30">
        <v>34</v>
      </c>
      <c r="B29" s="23">
        <v>864</v>
      </c>
      <c r="C29" s="20"/>
      <c r="D29" s="20"/>
      <c r="E29" s="26">
        <v>7.92</v>
      </c>
      <c r="F29" s="20"/>
      <c r="G29" s="31">
        <v>12.7</v>
      </c>
      <c r="H29" s="26">
        <v>15.88</v>
      </c>
      <c r="I29" s="26">
        <v>9.5299999999999994</v>
      </c>
      <c r="J29" s="26">
        <v>17.48</v>
      </c>
      <c r="K29" s="20"/>
      <c r="L29" s="20"/>
      <c r="M29" s="31">
        <v>12.7</v>
      </c>
      <c r="N29" s="20"/>
      <c r="O29" s="20"/>
      <c r="P29" s="20"/>
      <c r="Q29" s="20"/>
      <c r="R29" s="20"/>
      <c r="S29" s="20"/>
      <c r="T29" s="35"/>
    </row>
    <row r="30" spans="1:20" x14ac:dyDescent="0.25">
      <c r="A30" s="30">
        <v>36</v>
      </c>
      <c r="B30" s="23">
        <v>914</v>
      </c>
      <c r="C30" s="20"/>
      <c r="D30" s="20"/>
      <c r="E30" s="26">
        <v>7.92</v>
      </c>
      <c r="F30" s="20"/>
      <c r="G30" s="31">
        <v>12.7</v>
      </c>
      <c r="H30" s="26">
        <v>15.88</v>
      </c>
      <c r="I30" s="26">
        <v>9.5299999999999994</v>
      </c>
      <c r="J30" s="26">
        <v>19.05</v>
      </c>
      <c r="K30" s="20"/>
      <c r="L30" s="20"/>
      <c r="M30" s="31">
        <v>12.7</v>
      </c>
      <c r="N30" s="20"/>
      <c r="O30" s="20"/>
      <c r="P30" s="20"/>
      <c r="Q30" s="20"/>
      <c r="R30" s="20"/>
      <c r="S30" s="20"/>
      <c r="T30" s="35"/>
    </row>
    <row r="31" spans="1:20" x14ac:dyDescent="0.25">
      <c r="A31" s="36">
        <v>38</v>
      </c>
      <c r="B31" s="37">
        <v>965</v>
      </c>
      <c r="C31" s="20"/>
      <c r="D31" s="20"/>
      <c r="E31" s="20"/>
      <c r="F31" s="20"/>
      <c r="G31" s="20"/>
      <c r="H31" s="20"/>
      <c r="I31" s="26">
        <v>9.5299999999999994</v>
      </c>
      <c r="J31" s="20"/>
      <c r="K31" s="20"/>
      <c r="L31" s="20"/>
      <c r="M31" s="31">
        <v>12.7</v>
      </c>
      <c r="N31" s="20"/>
      <c r="O31" s="20"/>
      <c r="P31" s="20"/>
      <c r="Q31" s="20"/>
      <c r="R31" s="20"/>
      <c r="S31" s="20"/>
      <c r="T31" s="35"/>
    </row>
    <row r="32" spans="1:20" x14ac:dyDescent="0.25">
      <c r="A32" s="30">
        <v>40</v>
      </c>
      <c r="B32" s="23">
        <v>1016</v>
      </c>
      <c r="C32" s="20"/>
      <c r="D32" s="20"/>
      <c r="E32" s="20"/>
      <c r="F32" s="20"/>
      <c r="G32" s="20"/>
      <c r="H32" s="20"/>
      <c r="I32" s="26">
        <v>9.5299999999999994</v>
      </c>
      <c r="J32" s="20"/>
      <c r="K32" s="20"/>
      <c r="L32" s="20"/>
      <c r="M32" s="31">
        <v>12.7</v>
      </c>
      <c r="N32" s="20"/>
      <c r="O32" s="20"/>
      <c r="P32" s="20"/>
      <c r="Q32" s="20"/>
      <c r="R32" s="20"/>
      <c r="S32" s="20"/>
      <c r="T32" s="35"/>
    </row>
    <row r="33" spans="1:20" x14ac:dyDescent="0.25">
      <c r="A33" s="30">
        <v>42</v>
      </c>
      <c r="B33" s="23">
        <v>1067</v>
      </c>
      <c r="C33" s="20"/>
      <c r="D33" s="20"/>
      <c r="E33" s="20"/>
      <c r="F33" s="20"/>
      <c r="G33" s="20"/>
      <c r="H33" s="20"/>
      <c r="I33" s="26">
        <v>9.5299999999999994</v>
      </c>
      <c r="J33" s="20"/>
      <c r="K33" s="20"/>
      <c r="L33" s="20"/>
      <c r="M33" s="31">
        <v>12.7</v>
      </c>
      <c r="N33" s="20"/>
      <c r="O33" s="20"/>
      <c r="P33" s="20"/>
      <c r="Q33" s="20"/>
      <c r="R33" s="20"/>
      <c r="S33" s="20"/>
      <c r="T33" s="35"/>
    </row>
    <row r="34" spans="1:20" x14ac:dyDescent="0.25">
      <c r="A34" s="30">
        <v>44</v>
      </c>
      <c r="B34" s="23">
        <v>1118</v>
      </c>
      <c r="C34" s="20"/>
      <c r="D34" s="20"/>
      <c r="E34" s="20"/>
      <c r="F34" s="20"/>
      <c r="G34" s="20"/>
      <c r="H34" s="20"/>
      <c r="I34" s="26">
        <v>9.5299999999999994</v>
      </c>
      <c r="J34" s="20"/>
      <c r="K34" s="20"/>
      <c r="L34" s="20"/>
      <c r="M34" s="31">
        <v>12.7</v>
      </c>
      <c r="N34" s="20"/>
      <c r="O34" s="20"/>
      <c r="P34" s="20"/>
      <c r="Q34" s="20"/>
      <c r="R34" s="20"/>
      <c r="S34" s="20"/>
      <c r="T34" s="35"/>
    </row>
    <row r="35" spans="1:20" x14ac:dyDescent="0.25">
      <c r="A35" s="30">
        <v>46</v>
      </c>
      <c r="B35" s="23">
        <v>1168</v>
      </c>
      <c r="C35" s="20"/>
      <c r="D35" s="20"/>
      <c r="E35" s="20"/>
      <c r="F35" s="20"/>
      <c r="G35" s="20"/>
      <c r="H35" s="20"/>
      <c r="I35" s="26">
        <v>9.5299999999999994</v>
      </c>
      <c r="J35" s="20"/>
      <c r="K35" s="20"/>
      <c r="L35" s="20"/>
      <c r="M35" s="31">
        <v>12.7</v>
      </c>
      <c r="N35" s="20"/>
      <c r="O35" s="20"/>
      <c r="P35" s="20"/>
      <c r="Q35" s="20"/>
      <c r="R35" s="20"/>
      <c r="S35" s="20"/>
      <c r="T35" s="35"/>
    </row>
    <row r="36" spans="1:20" x14ac:dyDescent="0.25">
      <c r="A36" s="30">
        <v>48</v>
      </c>
      <c r="B36" s="23">
        <v>1219</v>
      </c>
      <c r="C36" s="20"/>
      <c r="D36" s="20"/>
      <c r="E36" s="20"/>
      <c r="F36" s="20"/>
      <c r="G36" s="20"/>
      <c r="H36" s="20"/>
      <c r="I36" s="26">
        <v>9.5299999999999994</v>
      </c>
      <c r="J36" s="20"/>
      <c r="K36" s="20"/>
      <c r="L36" s="20"/>
      <c r="M36" s="31">
        <v>12.7</v>
      </c>
      <c r="N36" s="20"/>
      <c r="O36" s="20"/>
      <c r="P36" s="20"/>
      <c r="Q36" s="20"/>
      <c r="R36" s="20"/>
      <c r="S36" s="20"/>
      <c r="T36" s="35"/>
    </row>
    <row r="37" spans="1:20" x14ac:dyDescent="0.25">
      <c r="A37" s="30">
        <v>52</v>
      </c>
      <c r="B37" s="23">
        <v>1321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35"/>
    </row>
    <row r="38" spans="1:20" x14ac:dyDescent="0.25">
      <c r="A38" s="30">
        <v>56</v>
      </c>
      <c r="B38" s="23">
        <v>1422</v>
      </c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35"/>
    </row>
    <row r="39" spans="1:20" x14ac:dyDescent="0.25">
      <c r="A39" s="30">
        <v>60</v>
      </c>
      <c r="B39" s="23">
        <v>1524</v>
      </c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35"/>
    </row>
    <row r="40" spans="1:20" x14ac:dyDescent="0.25">
      <c r="A40" s="30">
        <v>64</v>
      </c>
      <c r="B40" s="23">
        <v>1626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35"/>
    </row>
    <row r="41" spans="1:20" x14ac:dyDescent="0.25">
      <c r="A41" s="30">
        <v>68</v>
      </c>
      <c r="B41" s="23">
        <v>1727</v>
      </c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35"/>
    </row>
    <row r="42" spans="1:20" x14ac:dyDescent="0.25">
      <c r="A42" s="30">
        <v>72</v>
      </c>
      <c r="B42" s="23">
        <v>1829</v>
      </c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35"/>
    </row>
    <row r="43" spans="1:20" x14ac:dyDescent="0.25">
      <c r="A43" s="30">
        <v>76</v>
      </c>
      <c r="B43" s="23">
        <v>1930</v>
      </c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35"/>
    </row>
    <row r="44" spans="1:20" ht="15.75" thickBot="1" x14ac:dyDescent="0.3">
      <c r="A44" s="38">
        <v>80</v>
      </c>
      <c r="B44" s="39">
        <v>2032</v>
      </c>
      <c r="C44" s="40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2"/>
    </row>
  </sheetData>
  <mergeCells count="3">
    <mergeCell ref="D2:T2"/>
    <mergeCell ref="D3:T3"/>
    <mergeCell ref="C5:T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U119"/>
  <sheetViews>
    <sheetView workbookViewId="0">
      <selection activeCell="E15" sqref="E15"/>
    </sheetView>
  </sheetViews>
  <sheetFormatPr defaultRowHeight="15" x14ac:dyDescent="0.25"/>
  <cols>
    <col min="3" max="3" width="12" customWidth="1"/>
    <col min="4" max="4" width="11.5703125" bestFit="1" customWidth="1"/>
    <col min="5" max="21" width="9.5703125" bestFit="1" customWidth="1"/>
  </cols>
  <sheetData>
    <row r="1" spans="1:21" x14ac:dyDescent="0.25">
      <c r="A1" s="2"/>
      <c r="B1" s="2"/>
      <c r="C1" s="2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5.75" x14ac:dyDescent="0.25">
      <c r="A2" s="4"/>
      <c r="B2" s="4"/>
      <c r="C2" s="4"/>
      <c r="D2" s="5"/>
      <c r="E2" s="126" t="s">
        <v>8</v>
      </c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</row>
    <row r="3" spans="1:21" ht="15.75" x14ac:dyDescent="0.25">
      <c r="A3" s="4"/>
      <c r="B3" s="4"/>
      <c r="C3" s="4"/>
      <c r="D3" s="5"/>
      <c r="E3" s="126" t="s">
        <v>9</v>
      </c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</row>
    <row r="4" spans="1:21" ht="15.75" thickBot="1" x14ac:dyDescent="0.3">
      <c r="A4" s="4"/>
      <c r="B4" s="4"/>
      <c r="C4" s="4"/>
      <c r="D4" s="5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 ht="15.75" thickBot="1" x14ac:dyDescent="0.3">
      <c r="A5" s="6"/>
      <c r="B5" s="6"/>
      <c r="C5" s="6"/>
      <c r="D5" s="127" t="s">
        <v>10</v>
      </c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9"/>
    </row>
    <row r="6" spans="1:21" ht="15.75" thickBot="1" x14ac:dyDescent="0.3">
      <c r="A6" s="7" t="s">
        <v>11</v>
      </c>
      <c r="B6" s="116" t="s">
        <v>72</v>
      </c>
      <c r="C6" s="8" t="s">
        <v>12</v>
      </c>
      <c r="D6" s="9" t="s">
        <v>22</v>
      </c>
      <c r="E6" s="10" t="s">
        <v>13</v>
      </c>
      <c r="F6" s="11" t="s">
        <v>23</v>
      </c>
      <c r="G6" s="11" t="s">
        <v>14</v>
      </c>
      <c r="H6" s="11" t="s">
        <v>24</v>
      </c>
      <c r="I6" s="11" t="s">
        <v>25</v>
      </c>
      <c r="J6" s="11" t="s">
        <v>15</v>
      </c>
      <c r="K6" s="11" t="s">
        <v>26</v>
      </c>
      <c r="L6" s="11" t="s">
        <v>16</v>
      </c>
      <c r="M6" s="11" t="s">
        <v>27</v>
      </c>
      <c r="N6" s="11" t="s">
        <v>17</v>
      </c>
      <c r="O6" s="11" t="s">
        <v>28</v>
      </c>
      <c r="P6" s="11" t="s">
        <v>18</v>
      </c>
      <c r="Q6" s="11" t="s">
        <v>29</v>
      </c>
      <c r="R6" s="11" t="s">
        <v>30</v>
      </c>
      <c r="S6" s="11" t="s">
        <v>31</v>
      </c>
      <c r="T6" s="11" t="s">
        <v>32</v>
      </c>
      <c r="U6" s="12" t="s">
        <v>19</v>
      </c>
    </row>
    <row r="7" spans="1:21" ht="15.75" thickTop="1" x14ac:dyDescent="0.25">
      <c r="A7" s="13">
        <v>0.5</v>
      </c>
      <c r="B7" s="117">
        <f>A7*25.4*1.5</f>
        <v>19.049999999999997</v>
      </c>
      <c r="C7" s="14">
        <v>21.3</v>
      </c>
      <c r="D7" s="15">
        <v>1.65</v>
      </c>
      <c r="E7" s="16">
        <v>1.65</v>
      </c>
      <c r="F7" s="17">
        <v>2.11</v>
      </c>
      <c r="G7" s="17">
        <v>2.11</v>
      </c>
      <c r="H7" s="18"/>
      <c r="I7" s="19">
        <v>2.41</v>
      </c>
      <c r="J7" s="17">
        <v>2.77</v>
      </c>
      <c r="K7" s="17">
        <v>2.77</v>
      </c>
      <c r="L7" s="17">
        <v>2.77</v>
      </c>
      <c r="M7" s="20"/>
      <c r="N7" s="17">
        <v>3.73</v>
      </c>
      <c r="O7" s="17">
        <v>3.73</v>
      </c>
      <c r="P7" s="17">
        <v>3.73</v>
      </c>
      <c r="Q7" s="20"/>
      <c r="R7" s="20"/>
      <c r="S7" s="20"/>
      <c r="T7" s="17">
        <v>4.78</v>
      </c>
      <c r="U7" s="21">
        <v>7.47</v>
      </c>
    </row>
    <row r="8" spans="1:21" hidden="1" x14ac:dyDescent="0.25">
      <c r="A8" s="13"/>
      <c r="B8" s="117">
        <f>B7</f>
        <v>19.049999999999997</v>
      </c>
      <c r="C8" s="14" t="s">
        <v>70</v>
      </c>
      <c r="D8" s="15">
        <f>($C7/2)-(D7/2)</f>
        <v>9.8250000000000011</v>
      </c>
      <c r="E8" s="15">
        <f t="shared" ref="E8:G8" si="0">($C7/2)-(E7/2)</f>
        <v>9.8250000000000011</v>
      </c>
      <c r="F8" s="15">
        <f t="shared" si="0"/>
        <v>9.5950000000000006</v>
      </c>
      <c r="G8" s="15">
        <f t="shared" si="0"/>
        <v>9.5950000000000006</v>
      </c>
      <c r="H8" s="15"/>
      <c r="I8" s="15">
        <f t="shared" ref="I8:L8" si="1">($C7/2)-(I7/2)</f>
        <v>9.4450000000000003</v>
      </c>
      <c r="J8" s="15">
        <f t="shared" si="1"/>
        <v>9.2650000000000006</v>
      </c>
      <c r="K8" s="15">
        <f t="shared" si="1"/>
        <v>9.2650000000000006</v>
      </c>
      <c r="L8" s="15">
        <f t="shared" si="1"/>
        <v>9.2650000000000006</v>
      </c>
      <c r="M8" s="15"/>
      <c r="N8" s="15">
        <f t="shared" ref="N8:P8" si="2">($C7/2)-(N7/2)</f>
        <v>8.7850000000000001</v>
      </c>
      <c r="O8" s="15">
        <f t="shared" si="2"/>
        <v>8.7850000000000001</v>
      </c>
      <c r="P8" s="15">
        <f t="shared" si="2"/>
        <v>8.7850000000000001</v>
      </c>
      <c r="Q8" s="15"/>
      <c r="R8" s="15"/>
      <c r="S8" s="15"/>
      <c r="T8" s="15">
        <f t="shared" ref="T8:U8" si="3">($C7/2)-(T7/2)</f>
        <v>8.26</v>
      </c>
      <c r="U8" s="15">
        <f t="shared" si="3"/>
        <v>6.9150000000000009</v>
      </c>
    </row>
    <row r="9" spans="1:21" hidden="1" x14ac:dyDescent="0.25">
      <c r="A9" s="13"/>
      <c r="B9" s="117">
        <f>B7</f>
        <v>19.049999999999997</v>
      </c>
      <c r="C9" s="14" t="s">
        <v>71</v>
      </c>
      <c r="D9" s="118">
        <f>D7*$B9/D8/D8</f>
        <v>0.32562204999708627</v>
      </c>
      <c r="E9" s="118">
        <f t="shared" ref="E9:G9" si="4">E7*$B9/E8/E8</f>
        <v>0.32562204999708627</v>
      </c>
      <c r="F9" s="118">
        <f t="shared" si="4"/>
        <v>0.43660376569458026</v>
      </c>
      <c r="G9" s="118">
        <f t="shared" si="4"/>
        <v>0.43660376569458026</v>
      </c>
      <c r="H9" s="118"/>
      <c r="I9" s="118">
        <f t="shared" ref="I9:L9" si="5">I7*$B9/I8/I8</f>
        <v>0.51464540325828301</v>
      </c>
      <c r="J9" s="118">
        <f t="shared" si="5"/>
        <v>0.61472928338666388</v>
      </c>
      <c r="K9" s="118">
        <f t="shared" si="5"/>
        <v>0.61472928338666388</v>
      </c>
      <c r="L9" s="118">
        <f t="shared" si="5"/>
        <v>0.61472928338666388</v>
      </c>
      <c r="M9" s="118"/>
      <c r="N9" s="118">
        <f t="shared" ref="N9:P9" si="6">N7*$B9/N8/N8</f>
        <v>0.92070453044315115</v>
      </c>
      <c r="O9" s="118">
        <f t="shared" si="6"/>
        <v>0.92070453044315115</v>
      </c>
      <c r="P9" s="118">
        <f t="shared" si="6"/>
        <v>0.92070453044315115</v>
      </c>
      <c r="Q9" s="118"/>
      <c r="R9" s="118"/>
      <c r="S9" s="118"/>
      <c r="T9" s="118">
        <f t="shared" ref="T9:U9" si="7">T7*$B9/T8/T8</f>
        <v>1.3346358365236357</v>
      </c>
      <c r="U9" s="118">
        <f t="shared" si="7"/>
        <v>2.9759882552783008</v>
      </c>
    </row>
    <row r="10" spans="1:21" x14ac:dyDescent="0.25">
      <c r="A10" s="13"/>
      <c r="B10" s="117">
        <f>A7</f>
        <v>0.5</v>
      </c>
      <c r="C10" s="14" t="s">
        <v>73</v>
      </c>
      <c r="D10" s="119">
        <f>0.9/(D9^0.666666)</f>
        <v>1.9015145249060081</v>
      </c>
      <c r="E10" s="119">
        <f t="shared" ref="E10:U10" si="8">0.9/(E9^0.666666)</f>
        <v>1.9015145249060081</v>
      </c>
      <c r="F10" s="119">
        <f t="shared" si="8"/>
        <v>1.5638098755118743</v>
      </c>
      <c r="G10" s="119">
        <f t="shared" si="8"/>
        <v>1.5638098755118743</v>
      </c>
      <c r="H10" s="119"/>
      <c r="I10" s="119">
        <f t="shared" si="8"/>
        <v>1.4014262621423126</v>
      </c>
      <c r="J10" s="119">
        <f t="shared" si="8"/>
        <v>1.2448578646112047</v>
      </c>
      <c r="K10" s="119">
        <f t="shared" si="8"/>
        <v>1.2448578646112047</v>
      </c>
      <c r="L10" s="119">
        <f t="shared" si="8"/>
        <v>1.2448578646112047</v>
      </c>
      <c r="M10" s="119"/>
      <c r="N10" s="119">
        <f t="shared" si="8"/>
        <v>0.95096010740237435</v>
      </c>
      <c r="O10" s="119">
        <f t="shared" si="8"/>
        <v>0.95096010740237435</v>
      </c>
      <c r="P10" s="119">
        <f t="shared" si="8"/>
        <v>0.95096010740237435</v>
      </c>
      <c r="Q10" s="119"/>
      <c r="R10" s="119"/>
      <c r="S10" s="119"/>
      <c r="T10" s="119">
        <f t="shared" si="8"/>
        <v>0.7424503306979614</v>
      </c>
      <c r="U10" s="119">
        <f t="shared" si="8"/>
        <v>0.43499942534960884</v>
      </c>
    </row>
    <row r="11" spans="1:21" hidden="1" x14ac:dyDescent="0.25">
      <c r="A11" s="22">
        <v>0.75</v>
      </c>
      <c r="B11" s="117">
        <f>A11*25.4*1.5</f>
        <v>28.574999999999996</v>
      </c>
      <c r="C11" s="23">
        <v>26.7</v>
      </c>
      <c r="D11" s="24">
        <v>1.65</v>
      </c>
      <c r="E11" s="25">
        <v>1.65</v>
      </c>
      <c r="F11" s="26">
        <v>2.11</v>
      </c>
      <c r="G11" s="26">
        <v>2.11</v>
      </c>
      <c r="H11" s="18"/>
      <c r="I11" s="27">
        <v>2.41</v>
      </c>
      <c r="J11" s="26">
        <v>2.87</v>
      </c>
      <c r="K11" s="26">
        <v>2.87</v>
      </c>
      <c r="L11" s="26">
        <v>2.87</v>
      </c>
      <c r="M11" s="20"/>
      <c r="N11" s="26">
        <v>3.91</v>
      </c>
      <c r="O11" s="26">
        <v>3.91</v>
      </c>
      <c r="P11" s="26">
        <v>3.91</v>
      </c>
      <c r="Q11" s="20"/>
      <c r="R11" s="20"/>
      <c r="S11" s="20"/>
      <c r="T11" s="26">
        <v>5.56</v>
      </c>
      <c r="U11" s="28">
        <v>7.82</v>
      </c>
    </row>
    <row r="12" spans="1:21" hidden="1" x14ac:dyDescent="0.25">
      <c r="A12" s="22"/>
      <c r="B12" s="117">
        <f>B11</f>
        <v>28.574999999999996</v>
      </c>
      <c r="C12" s="14" t="s">
        <v>70</v>
      </c>
      <c r="D12" s="15">
        <f>($C11/2)-(D11/2)</f>
        <v>12.525</v>
      </c>
      <c r="E12" s="15">
        <f t="shared" ref="E12" si="9">($C11/2)-(E11/2)</f>
        <v>12.525</v>
      </c>
      <c r="F12" s="15">
        <f t="shared" ref="F12" si="10">($C11/2)-(F11/2)</f>
        <v>12.295</v>
      </c>
      <c r="G12" s="15">
        <f t="shared" ref="G12" si="11">($C11/2)-(G11/2)</f>
        <v>12.295</v>
      </c>
      <c r="H12" s="15"/>
      <c r="I12" s="15">
        <f t="shared" ref="I12" si="12">($C11/2)-(I11/2)</f>
        <v>12.145</v>
      </c>
      <c r="J12" s="15">
        <f t="shared" ref="J12" si="13">($C11/2)-(J11/2)</f>
        <v>11.914999999999999</v>
      </c>
      <c r="K12" s="15">
        <f t="shared" ref="K12" si="14">($C11/2)-(K11/2)</f>
        <v>11.914999999999999</v>
      </c>
      <c r="L12" s="15">
        <f t="shared" ref="L12" si="15">($C11/2)-(L11/2)</f>
        <v>11.914999999999999</v>
      </c>
      <c r="M12" s="15"/>
      <c r="N12" s="15">
        <f t="shared" ref="N12" si="16">($C11/2)-(N11/2)</f>
        <v>11.395</v>
      </c>
      <c r="O12" s="15">
        <f t="shared" ref="O12" si="17">($C11/2)-(O11/2)</f>
        <v>11.395</v>
      </c>
      <c r="P12" s="15">
        <f t="shared" ref="P12" si="18">($C11/2)-(P11/2)</f>
        <v>11.395</v>
      </c>
      <c r="Q12" s="15"/>
      <c r="R12" s="15"/>
      <c r="S12" s="15"/>
      <c r="T12" s="15">
        <f t="shared" ref="T12" si="19">($C11/2)-(T11/2)</f>
        <v>10.57</v>
      </c>
      <c r="U12" s="15">
        <f t="shared" ref="U12" si="20">($C11/2)-(U11/2)</f>
        <v>9.44</v>
      </c>
    </row>
    <row r="13" spans="1:21" hidden="1" x14ac:dyDescent="0.25">
      <c r="A13" s="22"/>
      <c r="B13" s="117">
        <f>B11</f>
        <v>28.574999999999996</v>
      </c>
      <c r="C13" s="14" t="s">
        <v>71</v>
      </c>
      <c r="D13" s="118">
        <f>D11*$B13/D12/D12</f>
        <v>0.30054860339201833</v>
      </c>
      <c r="E13" s="118">
        <f t="shared" ref="E13" si="21">E11*$B13/E12/E12</f>
        <v>0.30054860339201833</v>
      </c>
      <c r="F13" s="118">
        <f t="shared" ref="F13" si="22">F11*$B13/F12/F12</f>
        <v>0.39885186600715328</v>
      </c>
      <c r="G13" s="118">
        <f t="shared" ref="G13" si="23">G11*$B13/G12/G12</f>
        <v>0.39885186600715328</v>
      </c>
      <c r="H13" s="118"/>
      <c r="I13" s="118">
        <f t="shared" ref="I13" si="24">I11*$B13/I12/I12</f>
        <v>0.46688319623541596</v>
      </c>
      <c r="J13" s="118">
        <f t="shared" ref="J13" si="25">J11*$B13/J12/J12</f>
        <v>0.57767030383245144</v>
      </c>
      <c r="K13" s="118">
        <f t="shared" ref="K13" si="26">K11*$B13/K12/K12</f>
        <v>0.57767030383245144</v>
      </c>
      <c r="L13" s="118">
        <f t="shared" ref="L13" si="27">L11*$B13/L12/L12</f>
        <v>0.57767030383245144</v>
      </c>
      <c r="M13" s="118"/>
      <c r="N13" s="118">
        <f t="shared" ref="N13" si="28">N11*$B13/N12/N12</f>
        <v>0.86046723417216653</v>
      </c>
      <c r="O13" s="118">
        <f t="shared" ref="O13" si="29">O11*$B13/O12/O12</f>
        <v>0.86046723417216653</v>
      </c>
      <c r="P13" s="118">
        <f t="shared" ref="P13" si="30">P11*$B13/P12/P12</f>
        <v>0.86046723417216653</v>
      </c>
      <c r="Q13" s="118"/>
      <c r="R13" s="118"/>
      <c r="S13" s="118"/>
      <c r="T13" s="118">
        <f t="shared" ref="T13" si="31">T11*$B13/T12/T12</f>
        <v>1.4220375225218365</v>
      </c>
      <c r="U13" s="118">
        <f t="shared" ref="U13" si="32">U11*$B13/U12/U12</f>
        <v>2.5075465473283538</v>
      </c>
    </row>
    <row r="14" spans="1:21" x14ac:dyDescent="0.25">
      <c r="A14" s="22"/>
      <c r="B14" s="117">
        <f>A11</f>
        <v>0.75</v>
      </c>
      <c r="C14" s="14" t="s">
        <v>73</v>
      </c>
      <c r="D14" s="119">
        <f>0.9/(D13^0.666666)</f>
        <v>2.005852613102161</v>
      </c>
      <c r="E14" s="119">
        <f t="shared" ref="E14" si="33">0.9/(E13^0.666666)</f>
        <v>2.005852613102161</v>
      </c>
      <c r="F14" s="119">
        <f t="shared" ref="F14" si="34">0.9/(F13^0.666666)</f>
        <v>1.6609930853475685</v>
      </c>
      <c r="G14" s="119">
        <f t="shared" ref="G14" si="35">0.9/(G13^0.666666)</f>
        <v>1.6609930853475685</v>
      </c>
      <c r="H14" s="119"/>
      <c r="I14" s="119">
        <f t="shared" ref="I14" si="36">0.9/(I13^0.666666)</f>
        <v>1.4954439037804488</v>
      </c>
      <c r="J14" s="119">
        <f t="shared" ref="J14" si="37">0.9/(J13^0.666666)</f>
        <v>1.2975446826241239</v>
      </c>
      <c r="K14" s="119">
        <f t="shared" ref="K14" si="38">0.9/(K13^0.666666)</f>
        <v>1.2975446826241239</v>
      </c>
      <c r="L14" s="119">
        <f t="shared" ref="L14" si="39">0.9/(L13^0.666666)</f>
        <v>1.2975446826241239</v>
      </c>
      <c r="M14" s="119"/>
      <c r="N14" s="119">
        <f t="shared" ref="N14" si="40">0.9/(N13^0.666666)</f>
        <v>0.99483924134303947</v>
      </c>
      <c r="O14" s="119">
        <f t="shared" ref="O14" si="41">0.9/(O13^0.666666)</f>
        <v>0.99483924134303947</v>
      </c>
      <c r="P14" s="119">
        <f t="shared" ref="P14" si="42">0.9/(P13^0.666666)</f>
        <v>0.99483924134303947</v>
      </c>
      <c r="Q14" s="119"/>
      <c r="R14" s="119"/>
      <c r="S14" s="119"/>
      <c r="T14" s="119">
        <f t="shared" ref="T14" si="43">0.9/(T13^0.666666)</f>
        <v>0.71170809797756573</v>
      </c>
      <c r="U14" s="119">
        <f t="shared" ref="U14" si="44">0.9/(U13^0.666666)</f>
        <v>0.48761468151808357</v>
      </c>
    </row>
    <row r="15" spans="1:21" hidden="1" x14ac:dyDescent="0.25">
      <c r="A15" s="22">
        <v>1</v>
      </c>
      <c r="B15" s="117">
        <f>A15*25.4*1.5</f>
        <v>38.099999999999994</v>
      </c>
      <c r="C15" s="23">
        <v>33.4</v>
      </c>
      <c r="D15" s="24">
        <v>1.65</v>
      </c>
      <c r="E15" s="25">
        <v>1.65</v>
      </c>
      <c r="F15" s="26">
        <v>2.77</v>
      </c>
      <c r="G15" s="26">
        <v>2.77</v>
      </c>
      <c r="H15" s="20"/>
      <c r="I15" s="29">
        <v>2.9</v>
      </c>
      <c r="J15" s="26">
        <v>3.38</v>
      </c>
      <c r="K15" s="26">
        <v>3.38</v>
      </c>
      <c r="L15" s="26">
        <v>3.38</v>
      </c>
      <c r="M15" s="20"/>
      <c r="N15" s="26">
        <v>4.55</v>
      </c>
      <c r="O15" s="26">
        <v>4.55</v>
      </c>
      <c r="P15" s="26">
        <v>4.55</v>
      </c>
      <c r="Q15" s="20"/>
      <c r="R15" s="20"/>
      <c r="S15" s="20"/>
      <c r="T15" s="26">
        <v>6.35</v>
      </c>
      <c r="U15" s="28">
        <v>9.09</v>
      </c>
    </row>
    <row r="16" spans="1:21" hidden="1" x14ac:dyDescent="0.25">
      <c r="A16" s="22"/>
      <c r="B16" s="117">
        <f>B15</f>
        <v>38.099999999999994</v>
      </c>
      <c r="C16" s="14" t="s">
        <v>70</v>
      </c>
      <c r="D16" s="15">
        <f>($C15/2)-(D15/2)</f>
        <v>15.875</v>
      </c>
      <c r="E16" s="15">
        <f t="shared" ref="E16" si="45">($C15/2)-(E15/2)</f>
        <v>15.875</v>
      </c>
      <c r="F16" s="15">
        <f t="shared" ref="F16" si="46">($C15/2)-(F15/2)</f>
        <v>15.315</v>
      </c>
      <c r="G16" s="15">
        <f t="shared" ref="G16" si="47">($C15/2)-(G15/2)</f>
        <v>15.315</v>
      </c>
      <c r="H16" s="15"/>
      <c r="I16" s="15">
        <f t="shared" ref="I16" si="48">($C15/2)-(I15/2)</f>
        <v>15.25</v>
      </c>
      <c r="J16" s="15">
        <f t="shared" ref="J16" si="49">($C15/2)-(J15/2)</f>
        <v>15.01</v>
      </c>
      <c r="K16" s="15">
        <f t="shared" ref="K16" si="50">($C15/2)-(K15/2)</f>
        <v>15.01</v>
      </c>
      <c r="L16" s="15">
        <f t="shared" ref="L16" si="51">($C15/2)-(L15/2)</f>
        <v>15.01</v>
      </c>
      <c r="M16" s="15"/>
      <c r="N16" s="15">
        <f t="shared" ref="N16" si="52">($C15/2)-(N15/2)</f>
        <v>14.424999999999999</v>
      </c>
      <c r="O16" s="15">
        <f t="shared" ref="O16" si="53">($C15/2)-(O15/2)</f>
        <v>14.424999999999999</v>
      </c>
      <c r="P16" s="15">
        <f t="shared" ref="P16" si="54">($C15/2)-(P15/2)</f>
        <v>14.424999999999999</v>
      </c>
      <c r="Q16" s="15"/>
      <c r="R16" s="15"/>
      <c r="S16" s="15"/>
      <c r="T16" s="15">
        <f t="shared" ref="T16" si="55">($C15/2)-(T15/2)</f>
        <v>13.524999999999999</v>
      </c>
      <c r="U16" s="15">
        <f t="shared" ref="U16" si="56">($C15/2)-(U15/2)</f>
        <v>12.154999999999999</v>
      </c>
    </row>
    <row r="17" spans="1:21" hidden="1" x14ac:dyDescent="0.25">
      <c r="A17" s="22"/>
      <c r="B17" s="117">
        <f>B15</f>
        <v>38.099999999999994</v>
      </c>
      <c r="C17" s="14" t="s">
        <v>71</v>
      </c>
      <c r="D17" s="118">
        <f>D15*$B17/D16/D16</f>
        <v>0.24944881889763773</v>
      </c>
      <c r="E17" s="118">
        <f t="shared" ref="E17" si="57">E15*$B17/E16/E16</f>
        <v>0.24944881889763773</v>
      </c>
      <c r="F17" s="118">
        <f t="shared" ref="F17" si="58">F15*$B17/F16/F16</f>
        <v>0.44995672017249255</v>
      </c>
      <c r="G17" s="118">
        <f t="shared" ref="G17" si="59">G15*$B17/G16/G16</f>
        <v>0.44995672017249255</v>
      </c>
      <c r="H17" s="118"/>
      <c r="I17" s="118">
        <f t="shared" ref="I17" si="60">I15*$B17/I16/I16</f>
        <v>0.47509809191077662</v>
      </c>
      <c r="J17" s="118">
        <f t="shared" ref="J17" si="61">J15*$B17/J16/J16</f>
        <v>0.5715843002288945</v>
      </c>
      <c r="K17" s="118">
        <f t="shared" ref="K17" si="62">K15*$B17/K16/K16</f>
        <v>0.5715843002288945</v>
      </c>
      <c r="L17" s="118">
        <f t="shared" ref="L17" si="63">L15*$B17/L16/L16</f>
        <v>0.5715843002288945</v>
      </c>
      <c r="M17" s="118"/>
      <c r="N17" s="118">
        <f t="shared" ref="N17" si="64">N15*$B17/N16/N16</f>
        <v>0.83311456797094863</v>
      </c>
      <c r="O17" s="118">
        <f t="shared" ref="O17" si="65">O15*$B17/O16/O16</f>
        <v>0.83311456797094863</v>
      </c>
      <c r="P17" s="118">
        <f t="shared" ref="P17" si="66">P15*$B17/P16/P16</f>
        <v>0.83311456797094863</v>
      </c>
      <c r="Q17" s="118"/>
      <c r="R17" s="118"/>
      <c r="S17" s="118"/>
      <c r="T17" s="118">
        <f t="shared" ref="T17" si="67">T15*$B17/T16/T16</f>
        <v>1.3225867070291546</v>
      </c>
      <c r="U17" s="118">
        <f t="shared" ref="U17" si="68">U15*$B17/U16/U16</f>
        <v>2.3441151004245349</v>
      </c>
    </row>
    <row r="18" spans="1:21" x14ac:dyDescent="0.25">
      <c r="A18" s="22"/>
      <c r="B18" s="117">
        <f>A15</f>
        <v>1</v>
      </c>
      <c r="C18" s="14" t="s">
        <v>73</v>
      </c>
      <c r="D18" s="119">
        <f>0.9/(D17^0.666666)</f>
        <v>2.2711952581317698</v>
      </c>
      <c r="E18" s="119">
        <f t="shared" ref="E18" si="69">0.9/(E17^0.666666)</f>
        <v>2.2711952581317698</v>
      </c>
      <c r="F18" s="119">
        <f t="shared" ref="F18" si="70">0.9/(F17^0.666666)</f>
        <v>1.5327163255008749</v>
      </c>
      <c r="G18" s="119">
        <f t="shared" ref="G18" si="71">0.9/(G17^0.666666)</f>
        <v>1.5327163255008749</v>
      </c>
      <c r="H18" s="119"/>
      <c r="I18" s="119">
        <f t="shared" ref="I18" si="72">0.9/(I17^0.666666)</f>
        <v>1.4781554301905684</v>
      </c>
      <c r="J18" s="119">
        <f t="shared" ref="J18" si="73">0.9/(J17^0.666666)</f>
        <v>1.3067389004401404</v>
      </c>
      <c r="K18" s="119">
        <f t="shared" ref="K18" si="74">0.9/(K17^0.666666)</f>
        <v>1.3067389004401404</v>
      </c>
      <c r="L18" s="119">
        <f t="shared" ref="L18" si="75">0.9/(L17^0.666666)</f>
        <v>1.3067389004401404</v>
      </c>
      <c r="M18" s="119"/>
      <c r="N18" s="119">
        <f t="shared" ref="N18" si="76">0.9/(N17^0.666666)</f>
        <v>1.01649669468117</v>
      </c>
      <c r="O18" s="119">
        <f t="shared" ref="O18" si="77">0.9/(O17^0.666666)</f>
        <v>1.01649669468117</v>
      </c>
      <c r="P18" s="119">
        <f t="shared" ref="P18" si="78">0.9/(P17^0.666666)</f>
        <v>1.01649669468117</v>
      </c>
      <c r="Q18" s="119"/>
      <c r="R18" s="119"/>
      <c r="S18" s="119"/>
      <c r="T18" s="119">
        <f t="shared" ref="T18" si="79">0.9/(T17^0.666666)</f>
        <v>0.74695279174142748</v>
      </c>
      <c r="U18" s="119">
        <f t="shared" ref="U18" si="80">0.9/(U17^0.666666)</f>
        <v>0.5100234379390941</v>
      </c>
    </row>
    <row r="19" spans="1:21" hidden="1" x14ac:dyDescent="0.25">
      <c r="A19" s="22">
        <v>1.5</v>
      </c>
      <c r="B19" s="117">
        <f>A19*25.4*1.5</f>
        <v>57.149999999999991</v>
      </c>
      <c r="C19" s="23">
        <v>48.3</v>
      </c>
      <c r="D19" s="24">
        <v>1.65</v>
      </c>
      <c r="E19" s="25">
        <v>1.65</v>
      </c>
      <c r="F19" s="26">
        <v>2.77</v>
      </c>
      <c r="G19" s="26">
        <v>2.77</v>
      </c>
      <c r="H19" s="20"/>
      <c r="I19" s="27">
        <v>3.18</v>
      </c>
      <c r="J19" s="26">
        <v>3.68</v>
      </c>
      <c r="K19" s="26">
        <v>3.68</v>
      </c>
      <c r="L19" s="26">
        <v>3.68</v>
      </c>
      <c r="M19" s="20"/>
      <c r="N19" s="26">
        <v>5.08</v>
      </c>
      <c r="O19" s="26">
        <v>5.08</v>
      </c>
      <c r="P19" s="26">
        <v>5.08</v>
      </c>
      <c r="Q19" s="20"/>
      <c r="R19" s="20"/>
      <c r="S19" s="20"/>
      <c r="T19" s="26">
        <v>7.14</v>
      </c>
      <c r="U19" s="28">
        <v>10.15</v>
      </c>
    </row>
    <row r="20" spans="1:21" hidden="1" x14ac:dyDescent="0.25">
      <c r="A20" s="22"/>
      <c r="B20" s="117">
        <f>B19</f>
        <v>57.149999999999991</v>
      </c>
      <c r="C20" s="14" t="s">
        <v>70</v>
      </c>
      <c r="D20" s="15">
        <f>($C19/2)-(D19/2)</f>
        <v>23.324999999999999</v>
      </c>
      <c r="E20" s="15">
        <f t="shared" ref="E20" si="81">($C19/2)-(E19/2)</f>
        <v>23.324999999999999</v>
      </c>
      <c r="F20" s="15">
        <f t="shared" ref="F20" si="82">($C19/2)-(F19/2)</f>
        <v>22.764999999999997</v>
      </c>
      <c r="G20" s="15">
        <f t="shared" ref="G20" si="83">($C19/2)-(G19/2)</f>
        <v>22.764999999999997</v>
      </c>
      <c r="H20" s="15"/>
      <c r="I20" s="15">
        <f t="shared" ref="I20" si="84">($C19/2)-(I19/2)</f>
        <v>22.56</v>
      </c>
      <c r="J20" s="15">
        <f t="shared" ref="J20" si="85">($C19/2)-(J19/2)</f>
        <v>22.31</v>
      </c>
      <c r="K20" s="15">
        <f t="shared" ref="K20" si="86">($C19/2)-(K19/2)</f>
        <v>22.31</v>
      </c>
      <c r="L20" s="15">
        <f t="shared" ref="L20" si="87">($C19/2)-(L19/2)</f>
        <v>22.31</v>
      </c>
      <c r="M20" s="15"/>
      <c r="N20" s="15">
        <f t="shared" ref="N20" si="88">($C19/2)-(N19/2)</f>
        <v>21.61</v>
      </c>
      <c r="O20" s="15">
        <f t="shared" ref="O20" si="89">($C19/2)-(O19/2)</f>
        <v>21.61</v>
      </c>
      <c r="P20" s="15">
        <f t="shared" ref="P20" si="90">($C19/2)-(P19/2)</f>
        <v>21.61</v>
      </c>
      <c r="Q20" s="15"/>
      <c r="R20" s="15"/>
      <c r="S20" s="15"/>
      <c r="T20" s="15">
        <f t="shared" ref="T20" si="91">($C19/2)-(T19/2)</f>
        <v>20.58</v>
      </c>
      <c r="U20" s="15">
        <f t="shared" ref="U20" si="92">($C19/2)-(U19/2)</f>
        <v>19.074999999999999</v>
      </c>
    </row>
    <row r="21" spans="1:21" hidden="1" x14ac:dyDescent="0.25">
      <c r="A21" s="22"/>
      <c r="B21" s="117">
        <f>B19</f>
        <v>57.149999999999991</v>
      </c>
      <c r="C21" s="14" t="s">
        <v>71</v>
      </c>
      <c r="D21" s="118">
        <f>D19*$B21/D20/D20</f>
        <v>0.1733232700240899</v>
      </c>
      <c r="E21" s="118">
        <f t="shared" ref="E21" si="93">E19*$B21/E20/E20</f>
        <v>0.1733232700240899</v>
      </c>
      <c r="F21" s="118">
        <f t="shared" ref="F21" si="94">F19*$B21/F20/F20</f>
        <v>0.30546446424084273</v>
      </c>
      <c r="G21" s="118">
        <f t="shared" ref="G21" si="95">G19*$B21/G20/G20</f>
        <v>0.30546446424084273</v>
      </c>
      <c r="H21" s="118"/>
      <c r="I21" s="118">
        <f t="shared" ref="I21" si="96">I19*$B21/I20/I20</f>
        <v>0.35707970235400638</v>
      </c>
      <c r="J21" s="118">
        <f t="shared" ref="J21" si="97">J19*$B21/J20/J20</f>
        <v>0.42253716377011835</v>
      </c>
      <c r="K21" s="118">
        <f t="shared" ref="K21" si="98">K19*$B21/K20/K20</f>
        <v>0.42253716377011835</v>
      </c>
      <c r="L21" s="118">
        <f t="shared" ref="L21" si="99">L19*$B21/L20/L20</f>
        <v>0.42253716377011835</v>
      </c>
      <c r="M21" s="118"/>
      <c r="N21" s="118">
        <f t="shared" ref="N21" si="100">N19*$B21/N20/N20</f>
        <v>0.62168503492885629</v>
      </c>
      <c r="O21" s="118">
        <f t="shared" ref="O21" si="101">O19*$B21/O20/O20</f>
        <v>0.62168503492885629</v>
      </c>
      <c r="P21" s="118">
        <f t="shared" ref="P21" si="102">P19*$B21/P20/P20</f>
        <v>0.62168503492885629</v>
      </c>
      <c r="Q21" s="118"/>
      <c r="R21" s="118"/>
      <c r="S21" s="118"/>
      <c r="T21" s="118">
        <f t="shared" ref="T21" si="103">T19*$B21/T20/T20</f>
        <v>0.96343785327542097</v>
      </c>
      <c r="U21" s="118">
        <f t="shared" ref="U21" si="104">U19*$B21/U20/U20</f>
        <v>1.5942380992460949</v>
      </c>
    </row>
    <row r="22" spans="1:21" x14ac:dyDescent="0.25">
      <c r="A22" s="22"/>
      <c r="B22" s="117">
        <f>A19</f>
        <v>1.5</v>
      </c>
      <c r="C22" s="14" t="s">
        <v>73</v>
      </c>
      <c r="D22" s="119">
        <f>0.9/(D21^0.666666)</f>
        <v>2.8951478855736497</v>
      </c>
      <c r="E22" s="119">
        <f t="shared" ref="E22" si="105">0.9/(E21^0.666666)</f>
        <v>2.8951478855736497</v>
      </c>
      <c r="F22" s="119">
        <f t="shared" ref="F22" si="106">0.9/(F21^0.666666)</f>
        <v>1.9842742797511226</v>
      </c>
      <c r="G22" s="119">
        <f t="shared" ref="G22" si="107">0.9/(G21^0.666666)</f>
        <v>1.9842742797511226</v>
      </c>
      <c r="H22" s="119"/>
      <c r="I22" s="119">
        <f t="shared" ref="I22" si="108">0.9/(I21^0.666666)</f>
        <v>1.788128678427781</v>
      </c>
      <c r="J22" s="119">
        <f t="shared" ref="J22" si="109">0.9/(J21^0.666666)</f>
        <v>1.5983270572252142</v>
      </c>
      <c r="K22" s="119">
        <f t="shared" ref="K22" si="110">0.9/(K21^0.666666)</f>
        <v>1.5983270572252142</v>
      </c>
      <c r="L22" s="119">
        <f t="shared" ref="L22" si="111">0.9/(L21^0.666666)</f>
        <v>1.5983270572252142</v>
      </c>
      <c r="M22" s="119"/>
      <c r="N22" s="119">
        <f t="shared" ref="N22" si="112">0.9/(N21^0.666666)</f>
        <v>1.2355550392323382</v>
      </c>
      <c r="O22" s="119">
        <f t="shared" ref="O22" si="113">0.9/(O21^0.666666)</f>
        <v>1.2355550392323382</v>
      </c>
      <c r="P22" s="119">
        <f t="shared" ref="P22" si="114">0.9/(P21^0.666666)</f>
        <v>1.2355550392323382</v>
      </c>
      <c r="Q22" s="119"/>
      <c r="R22" s="119"/>
      <c r="S22" s="119"/>
      <c r="T22" s="119">
        <f t="shared" ref="T22" si="115">0.9/(T21^0.666666)</f>
        <v>0.92262813682167277</v>
      </c>
      <c r="U22" s="119">
        <f t="shared" ref="U22" si="116">0.9/(U21^0.666666)</f>
        <v>0.6594884420378897</v>
      </c>
    </row>
    <row r="23" spans="1:21" hidden="1" x14ac:dyDescent="0.25">
      <c r="A23" s="22">
        <v>2</v>
      </c>
      <c r="B23" s="117">
        <f>A23*25.4*1.5</f>
        <v>76.199999999999989</v>
      </c>
      <c r="C23" s="23">
        <v>60.3</v>
      </c>
      <c r="D23" s="24">
        <v>1.65</v>
      </c>
      <c r="E23" s="25">
        <v>1.65</v>
      </c>
      <c r="F23" s="26">
        <v>2.77</v>
      </c>
      <c r="G23" s="26">
        <v>2.77</v>
      </c>
      <c r="H23" s="20"/>
      <c r="I23" s="27">
        <v>3.18</v>
      </c>
      <c r="J23" s="26">
        <v>3.91</v>
      </c>
      <c r="K23" s="26">
        <v>3.91</v>
      </c>
      <c r="L23" s="26">
        <v>3.91</v>
      </c>
      <c r="M23" s="20"/>
      <c r="N23" s="26">
        <v>5.54</v>
      </c>
      <c r="O23" s="26">
        <v>5.54</v>
      </c>
      <c r="P23" s="26">
        <v>5.54</v>
      </c>
      <c r="Q23" s="20"/>
      <c r="R23" s="20"/>
      <c r="S23" s="20"/>
      <c r="T23" s="26">
        <v>8.74</v>
      </c>
      <c r="U23" s="28">
        <v>11.07</v>
      </c>
    </row>
    <row r="24" spans="1:21" hidden="1" x14ac:dyDescent="0.25">
      <c r="A24" s="22"/>
      <c r="B24" s="117">
        <f>B23</f>
        <v>76.199999999999989</v>
      </c>
      <c r="C24" s="14" t="s">
        <v>70</v>
      </c>
      <c r="D24" s="15">
        <f>($C23/2)-(D23/2)</f>
        <v>29.324999999999999</v>
      </c>
      <c r="E24" s="15">
        <f t="shared" ref="E24" si="117">($C23/2)-(E23/2)</f>
        <v>29.324999999999999</v>
      </c>
      <c r="F24" s="15">
        <f t="shared" ref="F24" si="118">($C23/2)-(F23/2)</f>
        <v>28.764999999999997</v>
      </c>
      <c r="G24" s="15">
        <f t="shared" ref="G24" si="119">($C23/2)-(G23/2)</f>
        <v>28.764999999999997</v>
      </c>
      <c r="H24" s="15"/>
      <c r="I24" s="15">
        <f t="shared" ref="I24" si="120">($C23/2)-(I23/2)</f>
        <v>28.56</v>
      </c>
      <c r="J24" s="15">
        <f t="shared" ref="J24" si="121">($C23/2)-(J23/2)</f>
        <v>28.195</v>
      </c>
      <c r="K24" s="15">
        <f t="shared" ref="K24" si="122">($C23/2)-(K23/2)</f>
        <v>28.195</v>
      </c>
      <c r="L24" s="15">
        <f t="shared" ref="L24" si="123">($C23/2)-(L23/2)</f>
        <v>28.195</v>
      </c>
      <c r="M24" s="15"/>
      <c r="N24" s="15">
        <f t="shared" ref="N24" si="124">($C23/2)-(N23/2)</f>
        <v>27.38</v>
      </c>
      <c r="O24" s="15">
        <f t="shared" ref="O24" si="125">($C23/2)-(O23/2)</f>
        <v>27.38</v>
      </c>
      <c r="P24" s="15">
        <f t="shared" ref="P24" si="126">($C23/2)-(P23/2)</f>
        <v>27.38</v>
      </c>
      <c r="Q24" s="15"/>
      <c r="R24" s="15"/>
      <c r="S24" s="15"/>
      <c r="T24" s="15">
        <f t="shared" ref="T24" si="127">($C23/2)-(T23/2)</f>
        <v>25.779999999999998</v>
      </c>
      <c r="U24" s="15">
        <f t="shared" ref="U24" si="128">($C23/2)-(U23/2)</f>
        <v>24.614999999999998</v>
      </c>
    </row>
    <row r="25" spans="1:21" hidden="1" x14ac:dyDescent="0.25">
      <c r="A25" s="22"/>
      <c r="B25" s="117">
        <f>B23</f>
        <v>76.199999999999989</v>
      </c>
      <c r="C25" s="14" t="s">
        <v>71</v>
      </c>
      <c r="D25" s="118">
        <f>D23*$B25/D24/D24</f>
        <v>0.14620521843786993</v>
      </c>
      <c r="E25" s="118">
        <f t="shared" ref="E25" si="129">E23*$B25/E24/E24</f>
        <v>0.14620521843786993</v>
      </c>
      <c r="F25" s="118">
        <f t="shared" ref="F25" si="130">F23*$B25/F24/F24</f>
        <v>0.25509737148755651</v>
      </c>
      <c r="G25" s="118">
        <f t="shared" ref="G25" si="131">G23*$B25/G24/G24</f>
        <v>0.25509737148755651</v>
      </c>
      <c r="H25" s="118"/>
      <c r="I25" s="118">
        <f t="shared" ref="I25" si="132">I23*$B25/I24/I24</f>
        <v>0.29707471223783627</v>
      </c>
      <c r="J25" s="118">
        <f t="shared" ref="J25" si="133">J23*$B25/J24/J24</f>
        <v>0.37478959974018744</v>
      </c>
      <c r="K25" s="118">
        <f t="shared" ref="K25" si="134">K23*$B25/K24/K24</f>
        <v>0.37478959974018744</v>
      </c>
      <c r="L25" s="118">
        <f t="shared" ref="L25" si="135">L23*$B25/L24/L24</f>
        <v>0.37478959974018744</v>
      </c>
      <c r="M25" s="118"/>
      <c r="N25" s="118">
        <f t="shared" ref="N25" si="136">N23*$B25/N24/N24</f>
        <v>0.5631159756285613</v>
      </c>
      <c r="O25" s="118">
        <f t="shared" ref="O25" si="137">O23*$B25/O24/O24</f>
        <v>0.5631159756285613</v>
      </c>
      <c r="P25" s="118">
        <f t="shared" ref="P25" si="138">P23*$B25/P24/P24</f>
        <v>0.5631159756285613</v>
      </c>
      <c r="Q25" s="118"/>
      <c r="R25" s="118"/>
      <c r="S25" s="118"/>
      <c r="T25" s="118">
        <f t="shared" ref="T25" si="139">T23*$B25/T24/T24</f>
        <v>1.0020758088522506</v>
      </c>
      <c r="U25" s="118">
        <f t="shared" ref="U25" si="140">U23*$B25/U24/U24</f>
        <v>1.3922041115073411</v>
      </c>
    </row>
    <row r="26" spans="1:21" x14ac:dyDescent="0.25">
      <c r="A26" s="22"/>
      <c r="B26" s="117">
        <f>A23</f>
        <v>2</v>
      </c>
      <c r="C26" s="14" t="s">
        <v>73</v>
      </c>
      <c r="D26" s="119">
        <f>0.9/(D25^0.666666)</f>
        <v>3.2428986064993444</v>
      </c>
      <c r="E26" s="119">
        <f t="shared" ref="E26" si="141">0.9/(E25^0.666666)</f>
        <v>3.2428986064993444</v>
      </c>
      <c r="F26" s="119">
        <f t="shared" ref="F26" si="142">0.9/(F25^0.666666)</f>
        <v>2.2375433503291626</v>
      </c>
      <c r="G26" s="119">
        <f t="shared" ref="G26" si="143">0.9/(G25^0.666666)</f>
        <v>2.2375433503291626</v>
      </c>
      <c r="H26" s="119"/>
      <c r="I26" s="119">
        <f t="shared" ref="I26" si="144">0.9/(I25^0.666666)</f>
        <v>2.0214594532293098</v>
      </c>
      <c r="J26" s="119">
        <f t="shared" ref="J26" si="145">0.9/(J25^0.666666)</f>
        <v>1.7313460137719008</v>
      </c>
      <c r="K26" s="119">
        <f t="shared" ref="K26" si="146">0.9/(K25^0.666666)</f>
        <v>1.7313460137719008</v>
      </c>
      <c r="L26" s="119">
        <f t="shared" ref="L26" si="147">0.9/(L25^0.666666)</f>
        <v>1.7313460137719008</v>
      </c>
      <c r="M26" s="119"/>
      <c r="N26" s="119">
        <f t="shared" ref="N26" si="148">0.9/(N25^0.666666)</f>
        <v>1.3198070508845854</v>
      </c>
      <c r="O26" s="119">
        <f t="shared" ref="O26" si="149">0.9/(O25^0.666666)</f>
        <v>1.3198070508845854</v>
      </c>
      <c r="P26" s="119">
        <f t="shared" ref="P26" si="150">0.9/(P25^0.666666)</f>
        <v>1.3198070508845854</v>
      </c>
      <c r="Q26" s="119"/>
      <c r="R26" s="119"/>
      <c r="S26" s="119"/>
      <c r="T26" s="119">
        <f t="shared" ref="T26" si="151">0.9/(T25^0.666666)</f>
        <v>0.89875666645448227</v>
      </c>
      <c r="U26" s="119">
        <f t="shared" ref="U26" si="152">0.9/(U25^0.666666)</f>
        <v>0.72183953386112509</v>
      </c>
    </row>
    <row r="27" spans="1:21" hidden="1" x14ac:dyDescent="0.25">
      <c r="A27" s="22">
        <v>2.5</v>
      </c>
      <c r="B27" s="117">
        <f>A27*25.4*1.5</f>
        <v>95.25</v>
      </c>
      <c r="C27" s="23">
        <v>73</v>
      </c>
      <c r="D27" s="24">
        <v>2.11</v>
      </c>
      <c r="E27" s="25">
        <v>2.11</v>
      </c>
      <c r="F27" s="26">
        <v>3.05</v>
      </c>
      <c r="G27" s="26">
        <v>3.05</v>
      </c>
      <c r="H27" s="20"/>
      <c r="I27" s="27">
        <v>4.78</v>
      </c>
      <c r="J27" s="26">
        <v>5.16</v>
      </c>
      <c r="K27" s="26">
        <v>5.16</v>
      </c>
      <c r="L27" s="26">
        <v>5.16</v>
      </c>
      <c r="M27" s="20"/>
      <c r="N27" s="26">
        <v>7.01</v>
      </c>
      <c r="O27" s="26">
        <v>7.01</v>
      </c>
      <c r="P27" s="26">
        <v>7.01</v>
      </c>
      <c r="Q27" s="20"/>
      <c r="R27" s="20"/>
      <c r="S27" s="20"/>
      <c r="T27" s="26">
        <v>9.5299999999999994</v>
      </c>
      <c r="U27" s="28">
        <v>14.02</v>
      </c>
    </row>
    <row r="28" spans="1:21" hidden="1" x14ac:dyDescent="0.25">
      <c r="A28" s="22"/>
      <c r="B28" s="117">
        <f>B27</f>
        <v>95.25</v>
      </c>
      <c r="C28" s="14" t="s">
        <v>70</v>
      </c>
      <c r="D28" s="15">
        <f>($C27/2)-(D27/2)</f>
        <v>35.445</v>
      </c>
      <c r="E28" s="15">
        <f t="shared" ref="E28" si="153">($C27/2)-(E27/2)</f>
        <v>35.445</v>
      </c>
      <c r="F28" s="15">
        <f t="shared" ref="F28" si="154">($C27/2)-(F27/2)</f>
        <v>34.975000000000001</v>
      </c>
      <c r="G28" s="15">
        <f t="shared" ref="G28" si="155">($C27/2)-(G27/2)</f>
        <v>34.975000000000001</v>
      </c>
      <c r="H28" s="15"/>
      <c r="I28" s="15">
        <f t="shared" ref="I28" si="156">($C27/2)-(I27/2)</f>
        <v>34.11</v>
      </c>
      <c r="J28" s="15">
        <f t="shared" ref="J28" si="157">($C27/2)-(J27/2)</f>
        <v>33.92</v>
      </c>
      <c r="K28" s="15">
        <f t="shared" ref="K28" si="158">($C27/2)-(K27/2)</f>
        <v>33.92</v>
      </c>
      <c r="L28" s="15">
        <f t="shared" ref="L28" si="159">($C27/2)-(L27/2)</f>
        <v>33.92</v>
      </c>
      <c r="M28" s="15"/>
      <c r="N28" s="15">
        <f t="shared" ref="N28" si="160">($C27/2)-(N27/2)</f>
        <v>32.994999999999997</v>
      </c>
      <c r="O28" s="15">
        <f t="shared" ref="O28" si="161">($C27/2)-(O27/2)</f>
        <v>32.994999999999997</v>
      </c>
      <c r="P28" s="15">
        <f t="shared" ref="P28" si="162">($C27/2)-(P27/2)</f>
        <v>32.994999999999997</v>
      </c>
      <c r="Q28" s="15"/>
      <c r="R28" s="15"/>
      <c r="S28" s="15"/>
      <c r="T28" s="15">
        <f t="shared" ref="T28" si="163">($C27/2)-(T27/2)</f>
        <v>31.734999999999999</v>
      </c>
      <c r="U28" s="15">
        <f t="shared" ref="U28" si="164">($C27/2)-(U27/2)</f>
        <v>29.490000000000002</v>
      </c>
    </row>
    <row r="29" spans="1:21" hidden="1" x14ac:dyDescent="0.25">
      <c r="A29" s="22"/>
      <c r="B29" s="117">
        <f>B27</f>
        <v>95.25</v>
      </c>
      <c r="C29" s="14" t="s">
        <v>71</v>
      </c>
      <c r="D29" s="118">
        <f>D27*$B29/D28/D28</f>
        <v>0.15996960714766911</v>
      </c>
      <c r="E29" s="118">
        <f t="shared" ref="E29" si="165">E27*$B29/E28/E28</f>
        <v>0.15996960714766911</v>
      </c>
      <c r="F29" s="118">
        <f t="shared" ref="F29" si="166">F27*$B29/F28/F28</f>
        <v>0.23749221464734585</v>
      </c>
      <c r="G29" s="118">
        <f t="shared" ref="G29" si="167">G27*$B29/G28/G28</f>
        <v>0.23749221464734585</v>
      </c>
      <c r="H29" s="118"/>
      <c r="I29" s="118">
        <f t="shared" ref="I29" si="168">I27*$B29/I28/I28</f>
        <v>0.39131765484269299</v>
      </c>
      <c r="J29" s="118">
        <f t="shared" ref="J29" si="169">J27*$B29/J28/J28</f>
        <v>0.42717221709238162</v>
      </c>
      <c r="K29" s="118">
        <f t="shared" ref="K29" si="170">K27*$B29/K28/K28</f>
        <v>0.42717221709238162</v>
      </c>
      <c r="L29" s="118">
        <f t="shared" ref="L29" si="171">L27*$B29/L28/L28</f>
        <v>0.42717221709238162</v>
      </c>
      <c r="M29" s="118"/>
      <c r="N29" s="118">
        <f t="shared" ref="N29" si="172">N27*$B29/N28/N28</f>
        <v>0.61331944911406933</v>
      </c>
      <c r="O29" s="118">
        <f t="shared" ref="O29" si="173">O27*$B29/O28/O28</f>
        <v>0.61331944911406933</v>
      </c>
      <c r="P29" s="118">
        <f t="shared" ref="P29" si="174">P27*$B29/P28/P28</f>
        <v>0.61331944911406933</v>
      </c>
      <c r="Q29" s="118"/>
      <c r="R29" s="118"/>
      <c r="S29" s="118"/>
      <c r="T29" s="118">
        <f t="shared" ref="T29" si="175">T27*$B29/T28/T28</f>
        <v>0.90132388438415467</v>
      </c>
      <c r="U29" s="118">
        <f t="shared" ref="U29" si="176">U27*$B29/U28/U28</f>
        <v>1.5355481986583031</v>
      </c>
    </row>
    <row r="30" spans="1:21" x14ac:dyDescent="0.25">
      <c r="A30" s="22"/>
      <c r="B30" s="117">
        <f>A27</f>
        <v>2.5</v>
      </c>
      <c r="C30" s="14" t="s">
        <v>73</v>
      </c>
      <c r="D30" s="119">
        <f>0.9/(D29^0.666666)</f>
        <v>3.0541028618088717</v>
      </c>
      <c r="E30" s="119">
        <f t="shared" ref="E30" si="177">0.9/(E29^0.666666)</f>
        <v>3.0541028618088717</v>
      </c>
      <c r="F30" s="119">
        <f t="shared" ref="F30" si="178">0.9/(F29^0.666666)</f>
        <v>2.3467987143692293</v>
      </c>
      <c r="G30" s="119">
        <f t="shared" ref="G30" si="179">0.9/(G29^0.666666)</f>
        <v>2.3467987143692293</v>
      </c>
      <c r="H30" s="119"/>
      <c r="I30" s="119">
        <f t="shared" ref="I30" si="180">0.9/(I29^0.666666)</f>
        <v>1.6822451169951071</v>
      </c>
      <c r="J30" s="119">
        <f t="shared" ref="J30" si="181">0.9/(J29^0.666666)</f>
        <v>1.5867442406217331</v>
      </c>
      <c r="K30" s="119">
        <f t="shared" ref="K30" si="182">0.9/(K29^0.666666)</f>
        <v>1.5867442406217331</v>
      </c>
      <c r="L30" s="119">
        <f t="shared" ref="L30" si="183">0.9/(L29^0.666666)</f>
        <v>1.5867442406217331</v>
      </c>
      <c r="M30" s="119"/>
      <c r="N30" s="119">
        <f t="shared" ref="N30" si="184">0.9/(N29^0.666666)</f>
        <v>1.2467648315053654</v>
      </c>
      <c r="O30" s="119">
        <f t="shared" ref="O30" si="185">0.9/(O29^0.666666)</f>
        <v>1.2467648315053654</v>
      </c>
      <c r="P30" s="119">
        <f t="shared" ref="P30" si="186">0.9/(P29^0.666666)</f>
        <v>1.2467648315053654</v>
      </c>
      <c r="Q30" s="119"/>
      <c r="R30" s="119"/>
      <c r="S30" s="119"/>
      <c r="T30" s="119">
        <f t="shared" ref="T30" si="187">0.9/(T29^0.666666)</f>
        <v>0.96454366481714804</v>
      </c>
      <c r="U30" s="119">
        <f t="shared" ref="U30" si="188">0.9/(U29^0.666666)</f>
        <v>0.67618728237735715</v>
      </c>
    </row>
    <row r="31" spans="1:21" hidden="1" x14ac:dyDescent="0.25">
      <c r="A31" s="30">
        <v>3</v>
      </c>
      <c r="B31" s="117">
        <f>A31*25.4*1.5</f>
        <v>114.29999999999998</v>
      </c>
      <c r="C31" s="23">
        <v>88.9</v>
      </c>
      <c r="D31" s="24">
        <v>2.11</v>
      </c>
      <c r="E31" s="25">
        <v>2.11</v>
      </c>
      <c r="F31" s="26">
        <v>3.05</v>
      </c>
      <c r="G31" s="26">
        <v>3.05</v>
      </c>
      <c r="H31" s="20"/>
      <c r="I31" s="27">
        <v>4.78</v>
      </c>
      <c r="J31" s="26">
        <v>5.49</v>
      </c>
      <c r="K31" s="26">
        <v>5.49</v>
      </c>
      <c r="L31" s="26">
        <v>5.49</v>
      </c>
      <c r="M31" s="20"/>
      <c r="N31" s="26">
        <v>7.62</v>
      </c>
      <c r="O31" s="26">
        <v>7.62</v>
      </c>
      <c r="P31" s="26">
        <v>7.62</v>
      </c>
      <c r="Q31" s="20"/>
      <c r="R31" s="20"/>
      <c r="S31" s="20"/>
      <c r="T31" s="26">
        <v>11.13</v>
      </c>
      <c r="U31" s="28">
        <v>15.24</v>
      </c>
    </row>
    <row r="32" spans="1:21" hidden="1" x14ac:dyDescent="0.25">
      <c r="A32" s="30"/>
      <c r="B32" s="117">
        <f>B31</f>
        <v>114.29999999999998</v>
      </c>
      <c r="C32" s="14" t="s">
        <v>70</v>
      </c>
      <c r="D32" s="15">
        <f>($C31/2)-(D31/2)</f>
        <v>43.395000000000003</v>
      </c>
      <c r="E32" s="15">
        <f t="shared" ref="E32" si="189">($C31/2)-(E31/2)</f>
        <v>43.395000000000003</v>
      </c>
      <c r="F32" s="15">
        <f t="shared" ref="F32" si="190">($C31/2)-(F31/2)</f>
        <v>42.925000000000004</v>
      </c>
      <c r="G32" s="15">
        <f t="shared" ref="G32" si="191">($C31/2)-(G31/2)</f>
        <v>42.925000000000004</v>
      </c>
      <c r="H32" s="15"/>
      <c r="I32" s="15">
        <f t="shared" ref="I32" si="192">($C31/2)-(I31/2)</f>
        <v>42.06</v>
      </c>
      <c r="J32" s="15">
        <f t="shared" ref="J32" si="193">($C31/2)-(J31/2)</f>
        <v>41.705000000000005</v>
      </c>
      <c r="K32" s="15">
        <f t="shared" ref="K32" si="194">($C31/2)-(K31/2)</f>
        <v>41.705000000000005</v>
      </c>
      <c r="L32" s="15">
        <f t="shared" ref="L32" si="195">($C31/2)-(L31/2)</f>
        <v>41.705000000000005</v>
      </c>
      <c r="M32" s="15"/>
      <c r="N32" s="15">
        <f t="shared" ref="N32" si="196">($C31/2)-(N31/2)</f>
        <v>40.64</v>
      </c>
      <c r="O32" s="15">
        <f t="shared" ref="O32" si="197">($C31/2)-(O31/2)</f>
        <v>40.64</v>
      </c>
      <c r="P32" s="15">
        <f t="shared" ref="P32" si="198">($C31/2)-(P31/2)</f>
        <v>40.64</v>
      </c>
      <c r="Q32" s="15"/>
      <c r="R32" s="15"/>
      <c r="S32" s="15"/>
      <c r="T32" s="15">
        <f t="shared" ref="T32" si="199">($C31/2)-(T31/2)</f>
        <v>38.885000000000005</v>
      </c>
      <c r="U32" s="15">
        <f t="shared" ref="U32" si="200">($C31/2)-(U31/2)</f>
        <v>36.830000000000005</v>
      </c>
    </row>
    <row r="33" spans="1:21" hidden="1" x14ac:dyDescent="0.25">
      <c r="A33" s="30"/>
      <c r="B33" s="117">
        <f>B31</f>
        <v>114.29999999999998</v>
      </c>
      <c r="C33" s="14" t="s">
        <v>71</v>
      </c>
      <c r="D33" s="118">
        <f>D31*$B33/D32/D32</f>
        <v>0.12807055757195004</v>
      </c>
      <c r="E33" s="118">
        <f t="shared" ref="E33" si="201">E31*$B33/E32/E32</f>
        <v>0.12807055757195004</v>
      </c>
      <c r="F33" s="118">
        <f t="shared" ref="F33" si="202">F31*$B33/F32/F32</f>
        <v>0.18920188637452934</v>
      </c>
      <c r="G33" s="118">
        <f t="shared" ref="G33" si="203">G31*$B33/G32/G32</f>
        <v>0.18920188637452934</v>
      </c>
      <c r="H33" s="118"/>
      <c r="I33" s="118">
        <f t="shared" ref="I33" si="204">I31*$B33/I32/I32</f>
        <v>0.30884145534909363</v>
      </c>
      <c r="J33" s="118">
        <f t="shared" ref="J33" si="205">J31*$B33/J32/J32</f>
        <v>0.36077989163529067</v>
      </c>
      <c r="K33" s="118">
        <f t="shared" ref="K33" si="206">K31*$B33/K32/K32</f>
        <v>0.36077989163529067</v>
      </c>
      <c r="L33" s="118">
        <f t="shared" ref="L33" si="207">L31*$B33/L32/L32</f>
        <v>0.36077989163529067</v>
      </c>
      <c r="M33" s="118"/>
      <c r="N33" s="118">
        <f t="shared" ref="N33" si="208">N31*$B33/N32/N32</f>
        <v>0.52734375</v>
      </c>
      <c r="O33" s="118">
        <f t="shared" ref="O33" si="209">O31*$B33/O32/O32</f>
        <v>0.52734375</v>
      </c>
      <c r="P33" s="118">
        <f t="shared" ref="P33" si="210">P31*$B33/P32/P32</f>
        <v>0.52734375</v>
      </c>
      <c r="Q33" s="118"/>
      <c r="R33" s="118"/>
      <c r="S33" s="118"/>
      <c r="T33" s="118">
        <f t="shared" ref="T33" si="211">T31*$B33/T32/T32</f>
        <v>0.84135094749027406</v>
      </c>
      <c r="U33" s="118">
        <f t="shared" ref="U33" si="212">U31*$B33/U32/U32</f>
        <v>1.284185493460166</v>
      </c>
    </row>
    <row r="34" spans="1:21" x14ac:dyDescent="0.25">
      <c r="A34" s="30"/>
      <c r="B34" s="117">
        <f>A31</f>
        <v>3</v>
      </c>
      <c r="C34" s="14" t="s">
        <v>73</v>
      </c>
      <c r="D34" s="119">
        <f>0.9/(D33^0.666666)</f>
        <v>3.5422214957463081</v>
      </c>
      <c r="E34" s="119">
        <f t="shared" ref="E34" si="213">0.9/(E33^0.666666)</f>
        <v>3.5422214957463081</v>
      </c>
      <c r="F34" s="119">
        <f t="shared" ref="F34" si="214">0.9/(F33^0.666666)</f>
        <v>2.7308114764416307</v>
      </c>
      <c r="G34" s="119">
        <f t="shared" ref="G34" si="215">0.9/(G33^0.666666)</f>
        <v>2.7308114764416307</v>
      </c>
      <c r="H34" s="119"/>
      <c r="I34" s="119">
        <f t="shared" ref="I34" si="216">0.9/(I33^0.666666)</f>
        <v>1.9697832603178429</v>
      </c>
      <c r="J34" s="119">
        <f t="shared" ref="J34" si="217">0.9/(J33^0.666666)</f>
        <v>1.7758815627887643</v>
      </c>
      <c r="K34" s="119">
        <f t="shared" ref="K34" si="218">0.9/(K33^0.666666)</f>
        <v>1.7758815627887643</v>
      </c>
      <c r="L34" s="119">
        <f t="shared" ref="L34" si="219">0.9/(L33^0.666666)</f>
        <v>1.7758815627887643</v>
      </c>
      <c r="M34" s="119"/>
      <c r="N34" s="119">
        <f t="shared" ref="N34" si="220">0.9/(N33^0.666666)</f>
        <v>1.3788376134057034</v>
      </c>
      <c r="O34" s="119">
        <f t="shared" ref="O34" si="221">0.9/(O33^0.666666)</f>
        <v>1.3788376134057034</v>
      </c>
      <c r="P34" s="119">
        <f t="shared" ref="P34" si="222">0.9/(P33^0.666666)</f>
        <v>1.3788376134057034</v>
      </c>
      <c r="Q34" s="119"/>
      <c r="R34" s="119"/>
      <c r="S34" s="119"/>
      <c r="T34" s="119">
        <f t="shared" ref="T34" si="223">0.9/(T33^0.666666)</f>
        <v>1.0098518544323829</v>
      </c>
      <c r="U34" s="119">
        <f t="shared" ref="U34" si="224">0.9/(U33^0.666666)</f>
        <v>0.76177036853649671</v>
      </c>
    </row>
    <row r="35" spans="1:21" hidden="1" x14ac:dyDescent="0.25">
      <c r="A35" s="30">
        <v>4</v>
      </c>
      <c r="B35" s="117">
        <f>A35*25.4*1.5</f>
        <v>152.39999999999998</v>
      </c>
      <c r="C35" s="23">
        <v>114.3</v>
      </c>
      <c r="D35" s="24">
        <v>2.11</v>
      </c>
      <c r="E35" s="25">
        <v>2.11</v>
      </c>
      <c r="F35" s="26">
        <v>3.05</v>
      </c>
      <c r="G35" s="26">
        <v>3.05</v>
      </c>
      <c r="H35" s="20"/>
      <c r="I35" s="27">
        <v>4.78</v>
      </c>
      <c r="J35" s="26">
        <v>6.02</v>
      </c>
      <c r="K35" s="26">
        <v>6.02</v>
      </c>
      <c r="L35" s="26">
        <v>6.02</v>
      </c>
      <c r="M35" s="20"/>
      <c r="N35" s="26">
        <v>8.56</v>
      </c>
      <c r="O35" s="26">
        <v>8.56</v>
      </c>
      <c r="P35" s="26">
        <v>8.56</v>
      </c>
      <c r="Q35" s="20"/>
      <c r="R35" s="26"/>
      <c r="S35" s="20"/>
      <c r="T35" s="26">
        <v>13.49</v>
      </c>
      <c r="U35" s="28">
        <v>17.12</v>
      </c>
    </row>
    <row r="36" spans="1:21" hidden="1" x14ac:dyDescent="0.25">
      <c r="A36" s="30"/>
      <c r="B36" s="117">
        <f>B35</f>
        <v>152.39999999999998</v>
      </c>
      <c r="C36" s="14" t="s">
        <v>70</v>
      </c>
      <c r="D36" s="15">
        <f>($C35/2)-(D35/2)</f>
        <v>56.094999999999999</v>
      </c>
      <c r="E36" s="15">
        <f t="shared" ref="E36" si="225">($C35/2)-(E35/2)</f>
        <v>56.094999999999999</v>
      </c>
      <c r="F36" s="15">
        <f t="shared" ref="F36" si="226">($C35/2)-(F35/2)</f>
        <v>55.625</v>
      </c>
      <c r="G36" s="15">
        <f t="shared" ref="G36" si="227">($C35/2)-(G35/2)</f>
        <v>55.625</v>
      </c>
      <c r="H36" s="15"/>
      <c r="I36" s="15">
        <f t="shared" ref="I36" si="228">($C35/2)-(I35/2)</f>
        <v>54.76</v>
      </c>
      <c r="J36" s="15">
        <f t="shared" ref="J36" si="229">($C35/2)-(J35/2)</f>
        <v>54.14</v>
      </c>
      <c r="K36" s="15">
        <f t="shared" ref="K36" si="230">($C35/2)-(K35/2)</f>
        <v>54.14</v>
      </c>
      <c r="L36" s="15">
        <f t="shared" ref="L36" si="231">($C35/2)-(L35/2)</f>
        <v>54.14</v>
      </c>
      <c r="M36" s="15"/>
      <c r="N36" s="15">
        <f t="shared" ref="N36" si="232">($C35/2)-(N35/2)</f>
        <v>52.87</v>
      </c>
      <c r="O36" s="15">
        <f t="shared" ref="O36" si="233">($C35/2)-(O35/2)</f>
        <v>52.87</v>
      </c>
      <c r="P36" s="15">
        <f t="shared" ref="P36" si="234">($C35/2)-(P35/2)</f>
        <v>52.87</v>
      </c>
      <c r="Q36" s="15"/>
      <c r="R36" s="15"/>
      <c r="S36" s="15"/>
      <c r="T36" s="15">
        <f t="shared" ref="T36" si="235">($C35/2)-(T35/2)</f>
        <v>50.405000000000001</v>
      </c>
      <c r="U36" s="15">
        <f t="shared" ref="U36" si="236">($C35/2)-(U35/2)</f>
        <v>48.589999999999996</v>
      </c>
    </row>
    <row r="37" spans="1:21" hidden="1" x14ac:dyDescent="0.25">
      <c r="A37" s="30"/>
      <c r="B37" s="117">
        <f>B35</f>
        <v>152.39999999999998</v>
      </c>
      <c r="C37" s="14" t="s">
        <v>71</v>
      </c>
      <c r="D37" s="118">
        <f>D35*$B37/D36/D36</f>
        <v>0.10219252209102028</v>
      </c>
      <c r="E37" s="118">
        <f t="shared" ref="E37" si="237">E35*$B37/E36/E36</f>
        <v>0.10219252209102028</v>
      </c>
      <c r="F37" s="118">
        <f t="shared" ref="F37" si="238">F35*$B37/F36/F36</f>
        <v>0.15022588057063496</v>
      </c>
      <c r="G37" s="118">
        <f t="shared" ref="G37" si="239">G35*$B37/G36/G36</f>
        <v>0.15022588057063496</v>
      </c>
      <c r="H37" s="118"/>
      <c r="I37" s="118">
        <f t="shared" ref="I37" si="240">I35*$B37/I36/I36</f>
        <v>0.24293270428741182</v>
      </c>
      <c r="J37" s="118">
        <f t="shared" ref="J37" si="241">J35*$B37/J36/J36</f>
        <v>0.31300044528755977</v>
      </c>
      <c r="K37" s="118">
        <f t="shared" ref="K37" si="242">K35*$B37/K36/K36</f>
        <v>0.31300044528755977</v>
      </c>
      <c r="L37" s="118">
        <f t="shared" ref="L37" si="243">L35*$B37/L36/L36</f>
        <v>0.31300044528755977</v>
      </c>
      <c r="M37" s="118"/>
      <c r="N37" s="118">
        <f t="shared" ref="N37" si="244">N35*$B37/N36/N36</f>
        <v>0.46670248235489453</v>
      </c>
      <c r="O37" s="118">
        <f t="shared" ref="O37" si="245">O35*$B37/O36/O36</f>
        <v>0.46670248235489453</v>
      </c>
      <c r="P37" s="118">
        <f t="shared" ref="P37" si="246">P35*$B37/P36/P36</f>
        <v>0.46670248235489453</v>
      </c>
      <c r="Q37" s="118"/>
      <c r="R37" s="118"/>
      <c r="S37" s="118"/>
      <c r="T37" s="118">
        <f t="shared" ref="T37" si="247">T35*$B37/T36/T36</f>
        <v>0.80918845615566959</v>
      </c>
      <c r="U37" s="118">
        <f t="shared" ref="U37" si="248">U35*$B37/U36/U36</f>
        <v>1.1050830794106925</v>
      </c>
    </row>
    <row r="38" spans="1:21" x14ac:dyDescent="0.25">
      <c r="A38" s="30"/>
      <c r="B38" s="117">
        <f>A35</f>
        <v>4</v>
      </c>
      <c r="C38" s="14" t="s">
        <v>73</v>
      </c>
      <c r="D38" s="119">
        <f>0.9/(D37^0.666666)</f>
        <v>4.1174572997297565</v>
      </c>
      <c r="E38" s="119">
        <f t="shared" ref="E38" si="249">0.9/(E37^0.666666)</f>
        <v>4.1174572997297565</v>
      </c>
      <c r="F38" s="119">
        <f t="shared" ref="F38" si="250">0.9/(F37^0.666666)</f>
        <v>3.184775241340017</v>
      </c>
      <c r="G38" s="119">
        <f t="shared" ref="G38" si="251">0.9/(G37^0.666666)</f>
        <v>3.184775241340017</v>
      </c>
      <c r="H38" s="119"/>
      <c r="I38" s="119">
        <f t="shared" ref="I38" si="252">0.9/(I37^0.666666)</f>
        <v>2.3116288711932937</v>
      </c>
      <c r="J38" s="119">
        <f t="shared" ref="J38" si="253">0.9/(J37^0.666666)</f>
        <v>1.9522954234259173</v>
      </c>
      <c r="K38" s="119">
        <f t="shared" ref="K38" si="254">0.9/(K37^0.666666)</f>
        <v>1.9522954234259173</v>
      </c>
      <c r="L38" s="119">
        <f t="shared" ref="L38" si="255">0.9/(L37^0.666666)</f>
        <v>1.9522954234259173</v>
      </c>
      <c r="M38" s="119"/>
      <c r="N38" s="119">
        <f t="shared" ref="N38" si="256">0.9/(N37^0.666666)</f>
        <v>1.4958299166734477</v>
      </c>
      <c r="O38" s="119">
        <f t="shared" ref="O38" si="257">0.9/(O37^0.666666)</f>
        <v>1.4958299166734477</v>
      </c>
      <c r="P38" s="119">
        <f t="shared" ref="P38" si="258">0.9/(P37^0.666666)</f>
        <v>1.4958299166734477</v>
      </c>
      <c r="Q38" s="119"/>
      <c r="R38" s="119"/>
      <c r="S38" s="119"/>
      <c r="T38" s="119">
        <f t="shared" ref="T38" si="259">0.9/(T37^0.666666)</f>
        <v>1.036436412667874</v>
      </c>
      <c r="U38" s="119">
        <f t="shared" ref="U38" si="260">0.9/(U37^0.666666)</f>
        <v>0.84200095786702789</v>
      </c>
    </row>
    <row r="39" spans="1:21" hidden="1" x14ac:dyDescent="0.25">
      <c r="A39" s="30">
        <v>6</v>
      </c>
      <c r="B39" s="117">
        <f>A39*25.4*1.5</f>
        <v>228.59999999999997</v>
      </c>
      <c r="C39" s="23">
        <v>168.3</v>
      </c>
      <c r="D39" s="24">
        <v>2.77</v>
      </c>
      <c r="E39" s="25">
        <v>2.77</v>
      </c>
      <c r="F39" s="31">
        <v>3.4</v>
      </c>
      <c r="G39" s="31">
        <v>3.4</v>
      </c>
      <c r="H39" s="20"/>
      <c r="I39" s="20"/>
      <c r="J39" s="26">
        <v>7.11</v>
      </c>
      <c r="K39" s="26">
        <v>7.11</v>
      </c>
      <c r="L39" s="26">
        <v>7.11</v>
      </c>
      <c r="M39" s="20"/>
      <c r="N39" s="26">
        <v>10.97</v>
      </c>
      <c r="O39" s="26">
        <v>10.97</v>
      </c>
      <c r="P39" s="26">
        <v>10.97</v>
      </c>
      <c r="Q39" s="20"/>
      <c r="R39" s="26"/>
      <c r="S39" s="20"/>
      <c r="T39" s="26">
        <v>18.260000000000002</v>
      </c>
      <c r="U39" s="28">
        <v>21.95</v>
      </c>
    </row>
    <row r="40" spans="1:21" hidden="1" x14ac:dyDescent="0.25">
      <c r="A40" s="30"/>
      <c r="B40" s="117">
        <f>B39</f>
        <v>228.59999999999997</v>
      </c>
      <c r="C40" s="14" t="s">
        <v>70</v>
      </c>
      <c r="D40" s="15">
        <f>($C39/2)-(D39/2)</f>
        <v>82.765000000000001</v>
      </c>
      <c r="E40" s="15">
        <f t="shared" ref="E40" si="261">($C39/2)-(E39/2)</f>
        <v>82.765000000000001</v>
      </c>
      <c r="F40" s="15">
        <f t="shared" ref="F40" si="262">($C39/2)-(F39/2)</f>
        <v>82.45</v>
      </c>
      <c r="G40" s="15">
        <f t="shared" ref="G40" si="263">($C39/2)-(G39/2)</f>
        <v>82.45</v>
      </c>
      <c r="H40" s="15"/>
      <c r="I40" s="15"/>
      <c r="J40" s="15">
        <f t="shared" ref="J40" si="264">($C39/2)-(J39/2)</f>
        <v>80.594999999999999</v>
      </c>
      <c r="K40" s="15">
        <f t="shared" ref="K40" si="265">($C39/2)-(K39/2)</f>
        <v>80.594999999999999</v>
      </c>
      <c r="L40" s="15">
        <f t="shared" ref="L40" si="266">($C39/2)-(L39/2)</f>
        <v>80.594999999999999</v>
      </c>
      <c r="M40" s="15"/>
      <c r="N40" s="15">
        <f t="shared" ref="N40" si="267">($C39/2)-(N39/2)</f>
        <v>78.665000000000006</v>
      </c>
      <c r="O40" s="15">
        <f t="shared" ref="O40" si="268">($C39/2)-(O39/2)</f>
        <v>78.665000000000006</v>
      </c>
      <c r="P40" s="15">
        <f t="shared" ref="P40" si="269">($C39/2)-(P39/2)</f>
        <v>78.665000000000006</v>
      </c>
      <c r="Q40" s="15"/>
      <c r="R40" s="15"/>
      <c r="S40" s="15"/>
      <c r="T40" s="15">
        <f t="shared" ref="T40" si="270">($C39/2)-(T39/2)</f>
        <v>75.02000000000001</v>
      </c>
      <c r="U40" s="15">
        <f t="shared" ref="U40" si="271">($C39/2)-(U39/2)</f>
        <v>73.175000000000011</v>
      </c>
    </row>
    <row r="41" spans="1:21" hidden="1" x14ac:dyDescent="0.25">
      <c r="A41" s="30"/>
      <c r="B41" s="117">
        <f>B39</f>
        <v>228.59999999999997</v>
      </c>
      <c r="C41" s="14" t="s">
        <v>71</v>
      </c>
      <c r="D41" s="118">
        <f>D39*$B41/D40/D40</f>
        <v>9.2440557573107096E-2</v>
      </c>
      <c r="E41" s="118">
        <f t="shared" ref="E41" si="272">E39*$B41/E40/E40</f>
        <v>9.2440557573107096E-2</v>
      </c>
      <c r="F41" s="118">
        <f t="shared" ref="F41" si="273">F39*$B41/F40/F40</f>
        <v>0.11433358549073788</v>
      </c>
      <c r="G41" s="118">
        <f t="shared" ref="G41" si="274">G39*$B41/G40/G40</f>
        <v>0.11433358549073788</v>
      </c>
      <c r="H41" s="118"/>
      <c r="I41" s="118"/>
      <c r="J41" s="118">
        <f t="shared" ref="J41" si="275">J39*$B41/J40/J40</f>
        <v>0.25022438328499619</v>
      </c>
      <c r="K41" s="118">
        <f t="shared" ref="K41" si="276">K39*$B41/K40/K40</f>
        <v>0.25022438328499619</v>
      </c>
      <c r="L41" s="118">
        <f t="shared" ref="L41" si="277">L39*$B41/L40/L40</f>
        <v>0.25022438328499619</v>
      </c>
      <c r="M41" s="118"/>
      <c r="N41" s="118">
        <f t="shared" ref="N41" si="278">N39*$B41/N40/N40</f>
        <v>0.40524695440751979</v>
      </c>
      <c r="O41" s="118">
        <f t="shared" ref="O41" si="279">O39*$B41/O40/O40</f>
        <v>0.40524695440751979</v>
      </c>
      <c r="P41" s="118">
        <f t="shared" ref="P41" si="280">P39*$B41/P40/P40</f>
        <v>0.40524695440751979</v>
      </c>
      <c r="Q41" s="118"/>
      <c r="R41" s="118"/>
      <c r="S41" s="118"/>
      <c r="T41" s="118">
        <f t="shared" ref="T41" si="281">T39*$B41/T40/T40</f>
        <v>0.74169077884216195</v>
      </c>
      <c r="U41" s="118">
        <f t="shared" ref="U41" si="282">U39*$B41/U40/U40</f>
        <v>0.93709859864141987</v>
      </c>
    </row>
    <row r="42" spans="1:21" x14ac:dyDescent="0.25">
      <c r="A42" s="30"/>
      <c r="B42" s="117">
        <f>A39</f>
        <v>6</v>
      </c>
      <c r="C42" s="14" t="s">
        <v>73</v>
      </c>
      <c r="D42" s="119">
        <f>0.9/(D41^0.666666)</f>
        <v>4.4021697224748175</v>
      </c>
      <c r="E42" s="119">
        <f t="shared" ref="E42" si="283">0.9/(E41^0.666666)</f>
        <v>4.4021697224748175</v>
      </c>
      <c r="F42" s="119">
        <f t="shared" ref="F42" si="284">0.9/(F41^0.666666)</f>
        <v>3.8205509829986224</v>
      </c>
      <c r="G42" s="119">
        <f t="shared" ref="G42" si="285">0.9/(G41^0.666666)</f>
        <v>3.8205509829986224</v>
      </c>
      <c r="H42" s="119"/>
      <c r="I42" s="119"/>
      <c r="J42" s="119">
        <f t="shared" ref="J42" si="286">0.9/(J41^0.666666)</f>
        <v>2.266499825539658</v>
      </c>
      <c r="K42" s="119">
        <f t="shared" ref="K42" si="287">0.9/(K41^0.666666)</f>
        <v>2.266499825539658</v>
      </c>
      <c r="L42" s="119">
        <f t="shared" ref="L42" si="288">0.9/(L41^0.666666)</f>
        <v>2.266499825539658</v>
      </c>
      <c r="M42" s="119"/>
      <c r="N42" s="119">
        <f t="shared" ref="N42" si="289">0.9/(N41^0.666666)</f>
        <v>1.6434723738828678</v>
      </c>
      <c r="O42" s="119">
        <f t="shared" ref="O42" si="290">0.9/(O41^0.666666)</f>
        <v>1.6434723738828678</v>
      </c>
      <c r="P42" s="119">
        <f t="shared" ref="P42" si="291">0.9/(P41^0.666666)</f>
        <v>1.6434723738828678</v>
      </c>
      <c r="Q42" s="119"/>
      <c r="R42" s="119"/>
      <c r="S42" s="119"/>
      <c r="T42" s="119">
        <f t="shared" ref="T42" si="292">0.9/(T41^0.666666)</f>
        <v>1.098399946737056</v>
      </c>
      <c r="U42" s="119">
        <f t="shared" ref="U42" si="293">0.9/(U41^0.666666)</f>
        <v>0.93983648016689403</v>
      </c>
    </row>
    <row r="43" spans="1:21" hidden="1" x14ac:dyDescent="0.25">
      <c r="A43" s="30">
        <v>8</v>
      </c>
      <c r="B43" s="117">
        <f>A43*25.4*1.5</f>
        <v>304.79999999999995</v>
      </c>
      <c r="C43" s="23">
        <v>219.1</v>
      </c>
      <c r="D43" s="24">
        <v>2.77</v>
      </c>
      <c r="E43" s="25">
        <v>2.77</v>
      </c>
      <c r="F43" s="26">
        <v>3.76</v>
      </c>
      <c r="G43" s="26">
        <v>3.76</v>
      </c>
      <c r="H43" s="26">
        <v>6.35</v>
      </c>
      <c r="I43" s="26">
        <v>7.04</v>
      </c>
      <c r="J43" s="26">
        <v>8.18</v>
      </c>
      <c r="K43" s="26">
        <v>8.18</v>
      </c>
      <c r="L43" s="26">
        <v>8.18</v>
      </c>
      <c r="M43" s="26">
        <v>10.31</v>
      </c>
      <c r="N43" s="31">
        <v>12.7</v>
      </c>
      <c r="O43" s="31">
        <v>12.7</v>
      </c>
      <c r="P43" s="31">
        <v>12.7</v>
      </c>
      <c r="Q43" s="26">
        <v>15.09</v>
      </c>
      <c r="R43" s="26">
        <v>18.260000000000002</v>
      </c>
      <c r="S43" s="26">
        <v>20.62</v>
      </c>
      <c r="T43" s="26">
        <v>23.01</v>
      </c>
      <c r="U43" s="28">
        <v>22.23</v>
      </c>
    </row>
    <row r="44" spans="1:21" hidden="1" x14ac:dyDescent="0.25">
      <c r="A44" s="30"/>
      <c r="B44" s="117">
        <f>B43</f>
        <v>304.79999999999995</v>
      </c>
      <c r="C44" s="14" t="s">
        <v>70</v>
      </c>
      <c r="D44" s="15">
        <f>($C43/2)-(D43/2)</f>
        <v>108.16499999999999</v>
      </c>
      <c r="E44" s="15">
        <f t="shared" ref="E44" si="294">($C43/2)-(E43/2)</f>
        <v>108.16499999999999</v>
      </c>
      <c r="F44" s="15">
        <f t="shared" ref="F44" si="295">($C43/2)-(F43/2)</f>
        <v>107.67</v>
      </c>
      <c r="G44" s="15">
        <f t="shared" ref="G44" si="296">($C43/2)-(G43/2)</f>
        <v>107.67</v>
      </c>
      <c r="H44" s="15">
        <f t="shared" ref="H44" si="297">($C43/2)-(H43/2)</f>
        <v>106.375</v>
      </c>
      <c r="I44" s="15">
        <f t="shared" ref="I44" si="298">($C43/2)-(I43/2)</f>
        <v>106.03</v>
      </c>
      <c r="J44" s="15">
        <f t="shared" ref="J44" si="299">($C43/2)-(J43/2)</f>
        <v>105.46</v>
      </c>
      <c r="K44" s="15">
        <f t="shared" ref="K44" si="300">($C43/2)-(K43/2)</f>
        <v>105.46</v>
      </c>
      <c r="L44" s="15">
        <f t="shared" ref="L44" si="301">($C43/2)-(L43/2)</f>
        <v>105.46</v>
      </c>
      <c r="M44" s="15">
        <f t="shared" ref="M44" si="302">($C43/2)-(M43/2)</f>
        <v>104.395</v>
      </c>
      <c r="N44" s="15">
        <f t="shared" ref="N44" si="303">($C43/2)-(N43/2)</f>
        <v>103.2</v>
      </c>
      <c r="O44" s="15">
        <f t="shared" ref="O44" si="304">($C43/2)-(O43/2)</f>
        <v>103.2</v>
      </c>
      <c r="P44" s="15">
        <f t="shared" ref="P44" si="305">($C43/2)-(P43/2)</f>
        <v>103.2</v>
      </c>
      <c r="Q44" s="15">
        <f t="shared" ref="Q44" si="306">($C43/2)-(Q43/2)</f>
        <v>102.005</v>
      </c>
      <c r="R44" s="15">
        <f t="shared" ref="R44" si="307">($C43/2)-(R43/2)</f>
        <v>100.42</v>
      </c>
      <c r="S44" s="15">
        <f t="shared" ref="S44" si="308">($C43/2)-(S43/2)</f>
        <v>99.24</v>
      </c>
      <c r="T44" s="15">
        <f t="shared" ref="T44" si="309">($C43/2)-(T43/2)</f>
        <v>98.045000000000002</v>
      </c>
      <c r="U44" s="15">
        <f t="shared" ref="U44" si="310">($C43/2)-(U43/2)</f>
        <v>98.435000000000002</v>
      </c>
    </row>
    <row r="45" spans="1:21" hidden="1" x14ac:dyDescent="0.25">
      <c r="A45" s="30"/>
      <c r="B45" s="117">
        <f>B43</f>
        <v>304.79999999999995</v>
      </c>
      <c r="C45" s="14" t="s">
        <v>71</v>
      </c>
      <c r="D45" s="118">
        <f>D43*$B45/D44/D44</f>
        <v>7.216410379569578E-2</v>
      </c>
      <c r="E45" s="118">
        <f t="shared" ref="E45" si="311">E43*$B45/E44/E44</f>
        <v>7.216410379569578E-2</v>
      </c>
      <c r="F45" s="118">
        <f t="shared" ref="F45" si="312">F43*$B45/F44/F44</f>
        <v>9.8858355444200491E-2</v>
      </c>
      <c r="G45" s="118">
        <f t="shared" ref="G45" si="313">G43*$B45/G44/G44</f>
        <v>9.8858355444200491E-2</v>
      </c>
      <c r="H45" s="118">
        <f t="shared" ref="H45" si="314">H43*$B45/H44/H44</f>
        <v>0.17104466853815445</v>
      </c>
      <c r="I45" s="118">
        <f t="shared" ref="I45" si="315">I43*$B45/I44/I44</f>
        <v>0.19086667107440039</v>
      </c>
      <c r="J45" s="118">
        <f t="shared" ref="J45" si="316">J43*$B45/J44/J44</f>
        <v>0.22417786685039692</v>
      </c>
      <c r="K45" s="118">
        <f t="shared" ref="K45" si="317">K43*$B45/K44/K44</f>
        <v>0.22417786685039692</v>
      </c>
      <c r="L45" s="118">
        <f t="shared" ref="L45" si="318">L43*$B45/L44/L44</f>
        <v>0.22417786685039692</v>
      </c>
      <c r="M45" s="118">
        <f t="shared" ref="M45" si="319">M43*$B45/M44/M44</f>
        <v>0.28834619887984025</v>
      </c>
      <c r="N45" s="118">
        <f t="shared" ref="N45" si="320">N43*$B45/N44/N44</f>
        <v>0.36346223183702892</v>
      </c>
      <c r="O45" s="118">
        <f t="shared" ref="O45" si="321">O43*$B45/O44/O44</f>
        <v>0.36346223183702892</v>
      </c>
      <c r="P45" s="118">
        <f t="shared" ref="P45" si="322">P43*$B45/P44/P44</f>
        <v>0.36346223183702892</v>
      </c>
      <c r="Q45" s="118">
        <f t="shared" ref="Q45" si="323">Q43*$B45/Q44/Q44</f>
        <v>0.44203970669436543</v>
      </c>
      <c r="R45" s="118">
        <f t="shared" ref="R45" si="324">R43*$B45/R44/R44</f>
        <v>0.55191894501171146</v>
      </c>
      <c r="S45" s="118">
        <f t="shared" ref="S45" si="325">S43*$B45/S44/S44</f>
        <v>0.6381607837460711</v>
      </c>
      <c r="T45" s="118">
        <f t="shared" ref="T45" si="326">T43*$B45/T44/T44</f>
        <v>0.72959303540210907</v>
      </c>
      <c r="U45" s="118">
        <f t="shared" ref="U45" si="327">U43*$B45/U44/U44</f>
        <v>0.69928680595361692</v>
      </c>
    </row>
    <row r="46" spans="1:21" x14ac:dyDescent="0.25">
      <c r="A46" s="30"/>
      <c r="B46" s="117">
        <f>A43</f>
        <v>8</v>
      </c>
      <c r="C46" s="14" t="s">
        <v>73</v>
      </c>
      <c r="D46" s="119">
        <f>0.9/(D45^0.666666)</f>
        <v>5.1923138231709611</v>
      </c>
      <c r="E46" s="119">
        <f t="shared" ref="E46" si="328">0.9/(E45^0.666666)</f>
        <v>5.1923138231709611</v>
      </c>
      <c r="F46" s="119">
        <f t="shared" ref="F46" si="329">0.9/(F45^0.666666)</f>
        <v>4.2095233072062719</v>
      </c>
      <c r="G46" s="119">
        <f t="shared" ref="G46" si="330">0.9/(G45^0.666666)</f>
        <v>4.2095233072062719</v>
      </c>
      <c r="H46" s="119">
        <f t="shared" ref="H46" si="331">0.9/(H45^0.666666)</f>
        <v>2.9208032532156714</v>
      </c>
      <c r="I46" s="119">
        <f t="shared" ref="I46" si="332">0.9/(I45^0.666666)</f>
        <v>2.7149091253073725</v>
      </c>
      <c r="J46" s="119">
        <f t="shared" ref="J46" si="333">0.9/(J45^0.666666)</f>
        <v>2.4388228474324847</v>
      </c>
      <c r="K46" s="119">
        <f t="shared" ref="K46" si="334">0.9/(K45^0.666666)</f>
        <v>2.4388228474324847</v>
      </c>
      <c r="L46" s="119">
        <f t="shared" ref="L46" si="335">0.9/(L45^0.666666)</f>
        <v>2.4388228474324847</v>
      </c>
      <c r="M46" s="119">
        <f t="shared" ref="M46" si="336">0.9/(M45^0.666666)</f>
        <v>2.0620506513824997</v>
      </c>
      <c r="N46" s="119">
        <f t="shared" ref="N46" si="337">0.9/(N45^0.666666)</f>
        <v>1.7671334880444411</v>
      </c>
      <c r="O46" s="119">
        <f t="shared" ref="O46" si="338">0.9/(O45^0.666666)</f>
        <v>1.7671334880444411</v>
      </c>
      <c r="P46" s="119">
        <f t="shared" ref="P46" si="339">0.9/(P45^0.666666)</f>
        <v>1.7671334880444411</v>
      </c>
      <c r="Q46" s="119">
        <f t="shared" ref="Q46" si="340">0.9/(Q45^0.666666)</f>
        <v>1.550962932220459</v>
      </c>
      <c r="R46" s="119">
        <f t="shared" ref="R46" si="341">0.9/(R45^0.666666)</f>
        <v>1.3375975650089005</v>
      </c>
      <c r="S46" s="119">
        <f t="shared" ref="S46" si="342">0.9/(S45^0.666666)</f>
        <v>1.214196484509849</v>
      </c>
      <c r="T46" s="119">
        <f t="shared" ref="T46" si="343">0.9/(T45^0.666666)</f>
        <v>1.1105086995130633</v>
      </c>
      <c r="U46" s="119">
        <f t="shared" ref="U46" si="344">0.9/(U45^0.666666)</f>
        <v>1.142366651446707</v>
      </c>
    </row>
    <row r="47" spans="1:21" hidden="1" x14ac:dyDescent="0.25">
      <c r="A47" s="30">
        <v>10</v>
      </c>
      <c r="B47" s="117">
        <f>A47*25.4*1.5</f>
        <v>381</v>
      </c>
      <c r="C47" s="23">
        <v>273</v>
      </c>
      <c r="D47" s="32">
        <v>3.4</v>
      </c>
      <c r="E47" s="33">
        <v>3.4</v>
      </c>
      <c r="F47" s="26">
        <v>4.1900000000000004</v>
      </c>
      <c r="G47" s="26">
        <v>4.1900000000000004</v>
      </c>
      <c r="H47" s="26">
        <v>6.35</v>
      </c>
      <c r="I47" s="31">
        <v>7.8</v>
      </c>
      <c r="J47" s="26">
        <v>9.27</v>
      </c>
      <c r="K47" s="26">
        <v>9.27</v>
      </c>
      <c r="L47" s="26">
        <v>9.27</v>
      </c>
      <c r="M47" s="31">
        <v>12.7</v>
      </c>
      <c r="N47" s="31">
        <v>12.7</v>
      </c>
      <c r="O47" s="26">
        <v>15.09</v>
      </c>
      <c r="P47" s="31">
        <v>12.7</v>
      </c>
      <c r="Q47" s="26">
        <v>18.260000000000002</v>
      </c>
      <c r="R47" s="26">
        <v>21.44</v>
      </c>
      <c r="S47" s="31">
        <v>25.4</v>
      </c>
      <c r="T47" s="26">
        <v>28.58</v>
      </c>
      <c r="U47" s="34">
        <v>25.4</v>
      </c>
    </row>
    <row r="48" spans="1:21" hidden="1" x14ac:dyDescent="0.25">
      <c r="A48" s="30"/>
      <c r="B48" s="117">
        <f>B47</f>
        <v>381</v>
      </c>
      <c r="C48" s="14" t="s">
        <v>70</v>
      </c>
      <c r="D48" s="15">
        <f>($C47/2)-(D47/2)</f>
        <v>134.80000000000001</v>
      </c>
      <c r="E48" s="15">
        <f t="shared" ref="E48" si="345">($C47/2)-(E47/2)</f>
        <v>134.80000000000001</v>
      </c>
      <c r="F48" s="15">
        <f t="shared" ref="F48" si="346">($C47/2)-(F47/2)</f>
        <v>134.405</v>
      </c>
      <c r="G48" s="15">
        <f t="shared" ref="G48" si="347">($C47/2)-(G47/2)</f>
        <v>134.405</v>
      </c>
      <c r="H48" s="15">
        <f t="shared" ref="H48" si="348">($C47/2)-(H47/2)</f>
        <v>133.32499999999999</v>
      </c>
      <c r="I48" s="15">
        <f t="shared" ref="I48" si="349">($C47/2)-(I47/2)</f>
        <v>132.6</v>
      </c>
      <c r="J48" s="15">
        <f t="shared" ref="J48" si="350">($C47/2)-(J47/2)</f>
        <v>131.86500000000001</v>
      </c>
      <c r="K48" s="15">
        <f t="shared" ref="K48" si="351">($C47/2)-(K47/2)</f>
        <v>131.86500000000001</v>
      </c>
      <c r="L48" s="15">
        <f t="shared" ref="L48" si="352">($C47/2)-(L47/2)</f>
        <v>131.86500000000001</v>
      </c>
      <c r="M48" s="15">
        <f t="shared" ref="M48" si="353">($C47/2)-(M47/2)</f>
        <v>130.15</v>
      </c>
      <c r="N48" s="15">
        <f t="shared" ref="N48" si="354">($C47/2)-(N47/2)</f>
        <v>130.15</v>
      </c>
      <c r="O48" s="15">
        <f t="shared" ref="O48" si="355">($C47/2)-(O47/2)</f>
        <v>128.95500000000001</v>
      </c>
      <c r="P48" s="15">
        <f t="shared" ref="P48" si="356">($C47/2)-(P47/2)</f>
        <v>130.15</v>
      </c>
      <c r="Q48" s="15">
        <f t="shared" ref="Q48" si="357">($C47/2)-(Q47/2)</f>
        <v>127.37</v>
      </c>
      <c r="R48" s="15">
        <f t="shared" ref="R48" si="358">($C47/2)-(R47/2)</f>
        <v>125.78</v>
      </c>
      <c r="S48" s="15">
        <f t="shared" ref="S48" si="359">($C47/2)-(S47/2)</f>
        <v>123.8</v>
      </c>
      <c r="T48" s="15">
        <f t="shared" ref="T48" si="360">($C47/2)-(T47/2)</f>
        <v>122.21000000000001</v>
      </c>
      <c r="U48" s="15">
        <f t="shared" ref="U48" si="361">($C47/2)-(U47/2)</f>
        <v>123.8</v>
      </c>
    </row>
    <row r="49" spans="1:21" hidden="1" x14ac:dyDescent="0.25">
      <c r="A49" s="30"/>
      <c r="B49" s="117">
        <f>B47</f>
        <v>381</v>
      </c>
      <c r="C49" s="14" t="s">
        <v>71</v>
      </c>
      <c r="D49" s="118">
        <f>D47*$B49/D48/D48</f>
        <v>7.1289260273490099E-2</v>
      </c>
      <c r="E49" s="118">
        <f t="shared" ref="E49" si="362">E47*$B49/E48/E48</f>
        <v>7.1289260273490099E-2</v>
      </c>
      <c r="F49" s="118">
        <f t="shared" ref="F49" si="363">F47*$B49/F48/F48</f>
        <v>8.8370670108446472E-2</v>
      </c>
      <c r="G49" s="118">
        <f t="shared" ref="G49" si="364">G47*$B49/G48/G48</f>
        <v>8.8370670108446472E-2</v>
      </c>
      <c r="H49" s="118">
        <f t="shared" ref="H49" si="365">H47*$B49/H48/H48</f>
        <v>0.13610545014960679</v>
      </c>
      <c r="I49" s="118">
        <f t="shared" ref="I49" si="366">I47*$B49/I48/I48</f>
        <v>0.16901783337769496</v>
      </c>
      <c r="J49" s="118">
        <f t="shared" ref="J49" si="367">J47*$B49/J48/J48</f>
        <v>0.20311669980367014</v>
      </c>
      <c r="K49" s="118">
        <f t="shared" ref="K49" si="368">K47*$B49/K48/K48</f>
        <v>0.20311669980367014</v>
      </c>
      <c r="L49" s="118">
        <f t="shared" ref="L49" si="369">L47*$B49/L48/L48</f>
        <v>0.20311669980367014</v>
      </c>
      <c r="M49" s="118">
        <f t="shared" ref="M49" si="370">M47*$B49/M48/M48</f>
        <v>0.28565402755678493</v>
      </c>
      <c r="N49" s="118">
        <f t="shared" ref="N49" si="371">N47*$B49/N48/N48</f>
        <v>0.28565402755678493</v>
      </c>
      <c r="O49" s="118">
        <f t="shared" ref="O49" si="372">O47*$B49/O48/O48</f>
        <v>0.34573061909640074</v>
      </c>
      <c r="P49" s="118">
        <f t="shared" ref="P49" si="373">P47*$B49/P48/P48</f>
        <v>0.28565402755678493</v>
      </c>
      <c r="Q49" s="118">
        <f t="shared" ref="Q49" si="374">Q47*$B49/Q48/Q48</f>
        <v>0.4288362121091539</v>
      </c>
      <c r="R49" s="118">
        <f t="shared" ref="R49" si="375">R47*$B49/R48/R48</f>
        <v>0.51632906860901762</v>
      </c>
      <c r="S49" s="118">
        <f t="shared" ref="S49" si="376">S47*$B49/S48/S48</f>
        <v>0.63141864646976076</v>
      </c>
      <c r="T49" s="118">
        <f t="shared" ref="T49" si="377">T47*$B49/T48/T48</f>
        <v>0.72907752722293362</v>
      </c>
      <c r="U49" s="118">
        <f t="shared" ref="U49" si="378">U47*$B49/U48/U48</f>
        <v>0.63141864646976076</v>
      </c>
    </row>
    <row r="50" spans="1:21" x14ac:dyDescent="0.25">
      <c r="A50" s="30"/>
      <c r="B50" s="117">
        <f>A47</f>
        <v>10</v>
      </c>
      <c r="C50" s="14" t="s">
        <v>73</v>
      </c>
      <c r="D50" s="119">
        <f>0.9/(D49^0.666666)</f>
        <v>5.2347065314301107</v>
      </c>
      <c r="E50" s="119">
        <f t="shared" ref="E50" si="379">0.9/(E49^0.666666)</f>
        <v>5.2347065314301107</v>
      </c>
      <c r="F50" s="119">
        <f t="shared" ref="F50" si="380">0.9/(F49^0.666666)</f>
        <v>4.5363133007126581</v>
      </c>
      <c r="G50" s="119">
        <f t="shared" ref="G50" si="381">0.9/(G49^0.666666)</f>
        <v>4.5363133007126581</v>
      </c>
      <c r="H50" s="119">
        <f t="shared" ref="H50" si="382">0.9/(H49^0.666666)</f>
        <v>3.4014042852354054</v>
      </c>
      <c r="I50" s="119">
        <f t="shared" ref="I50" si="383">0.9/(I49^0.666666)</f>
        <v>2.9441073483294971</v>
      </c>
      <c r="J50" s="121">
        <f t="shared" ref="J50" si="384">0.9/(J49^0.666666)</f>
        <v>2.6046235334478469</v>
      </c>
      <c r="K50" s="119">
        <f t="shared" ref="K50" si="385">0.9/(K49^0.666666)</f>
        <v>2.6046235334478469</v>
      </c>
      <c r="L50" s="119">
        <f t="shared" ref="L50" si="386">0.9/(L49^0.666666)</f>
        <v>2.6046235334478469</v>
      </c>
      <c r="M50" s="119">
        <f t="shared" ref="M50" si="387">0.9/(M49^0.666666)</f>
        <v>2.0749863566504856</v>
      </c>
      <c r="N50" s="119">
        <f t="shared" ref="N50" si="388">0.9/(N49^0.666666)</f>
        <v>2.0749863566504856</v>
      </c>
      <c r="O50" s="119">
        <f t="shared" ref="O50" si="389">0.9/(O49^0.666666)</f>
        <v>1.8270494673117899</v>
      </c>
      <c r="P50" s="119">
        <f t="shared" ref="P50" si="390">0.9/(P49^0.666666)</f>
        <v>2.0749863566504856</v>
      </c>
      <c r="Q50" s="119">
        <f t="shared" ref="Q50" si="391">0.9/(Q49^0.666666)</f>
        <v>1.5826369345730995</v>
      </c>
      <c r="R50" s="119">
        <f t="shared" ref="R50" si="392">0.9/(R49^0.666666)</f>
        <v>1.3983780579010399</v>
      </c>
      <c r="S50" s="119">
        <f t="shared" ref="S50" si="393">0.9/(S49^0.666666)</f>
        <v>1.2228244330313389</v>
      </c>
      <c r="T50" s="119">
        <f t="shared" ref="T50" si="394">0.9/(T49^0.666666)</f>
        <v>1.111032108233019</v>
      </c>
      <c r="U50" s="119">
        <f t="shared" ref="U50" si="395">0.9/(U49^0.666666)</f>
        <v>1.2228244330313389</v>
      </c>
    </row>
    <row r="51" spans="1:21" hidden="1" x14ac:dyDescent="0.25">
      <c r="A51" s="30">
        <v>12</v>
      </c>
      <c r="B51" s="117">
        <f>A51*25.4*1.5</f>
        <v>457.19999999999993</v>
      </c>
      <c r="C51" s="23">
        <v>323.8</v>
      </c>
      <c r="D51" s="24">
        <v>3.96</v>
      </c>
      <c r="E51" s="25">
        <v>3.96</v>
      </c>
      <c r="F51" s="26">
        <v>4.57</v>
      </c>
      <c r="G51" s="26">
        <v>4.57</v>
      </c>
      <c r="H51" s="26">
        <v>6.35</v>
      </c>
      <c r="I51" s="26">
        <v>8.3800000000000008</v>
      </c>
      <c r="J51" s="26">
        <v>9.5299999999999994</v>
      </c>
      <c r="K51" s="26">
        <v>10.31</v>
      </c>
      <c r="L51" s="26">
        <v>9.5299999999999994</v>
      </c>
      <c r="M51" s="26">
        <v>14.27</v>
      </c>
      <c r="N51" s="31">
        <v>12.7</v>
      </c>
      <c r="O51" s="26">
        <v>17.48</v>
      </c>
      <c r="P51" s="31">
        <v>12.7</v>
      </c>
      <c r="Q51" s="26">
        <v>21.44</v>
      </c>
      <c r="R51" s="31">
        <v>25.4</v>
      </c>
      <c r="S51" s="26">
        <v>28.58</v>
      </c>
      <c r="T51" s="26">
        <v>33.32</v>
      </c>
      <c r="U51" s="34">
        <v>25.4</v>
      </c>
    </row>
    <row r="52" spans="1:21" hidden="1" x14ac:dyDescent="0.25">
      <c r="A52" s="30"/>
      <c r="B52" s="117">
        <f>B51</f>
        <v>457.19999999999993</v>
      </c>
      <c r="C52" s="14" t="s">
        <v>70</v>
      </c>
      <c r="D52" s="15">
        <f>($C51/2)-(D51/2)</f>
        <v>159.92000000000002</v>
      </c>
      <c r="E52" s="15">
        <f t="shared" ref="E52" si="396">($C51/2)-(E51/2)</f>
        <v>159.92000000000002</v>
      </c>
      <c r="F52" s="15">
        <f t="shared" ref="F52" si="397">($C51/2)-(F51/2)</f>
        <v>159.61500000000001</v>
      </c>
      <c r="G52" s="15">
        <f t="shared" ref="G52" si="398">($C51/2)-(G51/2)</f>
        <v>159.61500000000001</v>
      </c>
      <c r="H52" s="15">
        <f t="shared" ref="H52" si="399">($C51/2)-(H51/2)</f>
        <v>158.72499999999999</v>
      </c>
      <c r="I52" s="15">
        <f t="shared" ref="I52" si="400">($C51/2)-(I51/2)</f>
        <v>157.71</v>
      </c>
      <c r="J52" s="15">
        <f t="shared" ref="J52" si="401">($C51/2)-(J51/2)</f>
        <v>157.13500000000002</v>
      </c>
      <c r="K52" s="15">
        <f t="shared" ref="K52" si="402">($C51/2)-(K51/2)</f>
        <v>156.745</v>
      </c>
      <c r="L52" s="15">
        <f t="shared" ref="L52" si="403">($C51/2)-(L51/2)</f>
        <v>157.13500000000002</v>
      </c>
      <c r="M52" s="15">
        <f t="shared" ref="M52" si="404">($C51/2)-(M51/2)</f>
        <v>154.76500000000001</v>
      </c>
      <c r="N52" s="15">
        <f t="shared" ref="N52" si="405">($C51/2)-(N51/2)</f>
        <v>155.55000000000001</v>
      </c>
      <c r="O52" s="15">
        <f t="shared" ref="O52" si="406">($C51/2)-(O51/2)</f>
        <v>153.16</v>
      </c>
      <c r="P52" s="15">
        <f t="shared" ref="P52" si="407">($C51/2)-(P51/2)</f>
        <v>155.55000000000001</v>
      </c>
      <c r="Q52" s="15">
        <f t="shared" ref="Q52" si="408">($C51/2)-(Q51/2)</f>
        <v>151.18</v>
      </c>
      <c r="R52" s="15">
        <f t="shared" ref="R52" si="409">($C51/2)-(R51/2)</f>
        <v>149.20000000000002</v>
      </c>
      <c r="S52" s="15">
        <f t="shared" ref="S52" si="410">($C51/2)-(S51/2)</f>
        <v>147.61000000000001</v>
      </c>
      <c r="T52" s="15">
        <f t="shared" ref="T52" si="411">($C51/2)-(T51/2)</f>
        <v>145.24</v>
      </c>
      <c r="U52" s="15">
        <f t="shared" ref="U52" si="412">($C51/2)-(U51/2)</f>
        <v>149.20000000000002</v>
      </c>
    </row>
    <row r="53" spans="1:21" hidden="1" x14ac:dyDescent="0.25">
      <c r="A53" s="30"/>
      <c r="B53" s="117">
        <f>B51</f>
        <v>457.19999999999993</v>
      </c>
      <c r="C53" s="14" t="s">
        <v>71</v>
      </c>
      <c r="D53" s="118">
        <f>D51*$B53/D52/D52</f>
        <v>7.0793901202727397E-2</v>
      </c>
      <c r="E53" s="118">
        <f t="shared" ref="E53" si="413">E51*$B53/E52/E52</f>
        <v>7.0793901202727397E-2</v>
      </c>
      <c r="F53" s="118">
        <f t="shared" ref="F53" si="414">F51*$B53/F52/F52</f>
        <v>8.2011549481806112E-2</v>
      </c>
      <c r="G53" s="118">
        <f t="shared" ref="G53" si="415">G51*$B53/G52/G52</f>
        <v>8.2011549481806112E-2</v>
      </c>
      <c r="H53" s="118">
        <f t="shared" ref="H53" si="416">H51*$B53/H52/H52</f>
        <v>0.11523629203726407</v>
      </c>
      <c r="I53" s="118">
        <f t="shared" ref="I53" si="417">I51*$B53/I52/I52</f>
        <v>0.15403938529708061</v>
      </c>
      <c r="J53" s="118">
        <f t="shared" ref="J53" si="418">J51*$B53/J52/J52</f>
        <v>0.17646283923119571</v>
      </c>
      <c r="K53" s="118">
        <f t="shared" ref="K53" si="419">K51*$B53/K52/K52</f>
        <v>0.1918569316817223</v>
      </c>
      <c r="L53" s="118">
        <f t="shared" ref="L53" si="420">L51*$B53/L52/L52</f>
        <v>0.17646283923119571</v>
      </c>
      <c r="M53" s="118">
        <f t="shared" ref="M53" si="421">M51*$B53/M52/M52</f>
        <v>0.27238594270185817</v>
      </c>
      <c r="N53" s="118">
        <f t="shared" ref="N53" si="422">N51*$B53/N52/N52</f>
        <v>0.23997716132787897</v>
      </c>
      <c r="O53" s="118">
        <f t="shared" ref="O53" si="423">O51*$B53/O52/O52</f>
        <v>0.34068807681423419</v>
      </c>
      <c r="P53" s="118">
        <f t="shared" ref="P53" si="424">P51*$B53/P52/P52</f>
        <v>0.23997716132787897</v>
      </c>
      <c r="Q53" s="118">
        <f t="shared" ref="Q53" si="425">Q51*$B53/Q52/Q52</f>
        <v>0.42888644519618913</v>
      </c>
      <c r="R53" s="118">
        <f t="shared" ref="R53" si="426">R51*$B53/R52/R52</f>
        <v>0.52167772355152386</v>
      </c>
      <c r="S53" s="118">
        <f t="shared" ref="S53" si="427">S51*$B53/S52/S52</f>
        <v>0.59970391733249784</v>
      </c>
      <c r="T53" s="118">
        <f t="shared" ref="T53" si="428">T51*$B53/T52/T52</f>
        <v>0.72216882060223619</v>
      </c>
      <c r="U53" s="118">
        <f t="shared" ref="U53" si="429">U51*$B53/U52/U52</f>
        <v>0.52167772355152386</v>
      </c>
    </row>
    <row r="54" spans="1:21" x14ac:dyDescent="0.25">
      <c r="A54" s="30"/>
      <c r="B54" s="117">
        <f>A51</f>
        <v>12</v>
      </c>
      <c r="C54" s="14" t="s">
        <v>73</v>
      </c>
      <c r="D54" s="119">
        <f>0.9/(D53^0.666666)</f>
        <v>5.2590969762134669</v>
      </c>
      <c r="E54" s="119">
        <f t="shared" ref="E54" si="430">0.9/(E53^0.666666)</f>
        <v>5.2590969762134669</v>
      </c>
      <c r="F54" s="119">
        <f t="shared" ref="F54" si="431">0.9/(F53^0.666666)</f>
        <v>4.7678777032277528</v>
      </c>
      <c r="G54" s="119">
        <f t="shared" ref="G54" si="432">0.9/(G53^0.666666)</f>
        <v>4.7678777032277528</v>
      </c>
      <c r="H54" s="119">
        <f t="shared" ref="H54" si="433">0.9/(H53^0.666666)</f>
        <v>3.8005726041648584</v>
      </c>
      <c r="I54" s="119">
        <f t="shared" ref="I54" si="434">0.9/(I53^0.666666)</f>
        <v>3.1319930038667976</v>
      </c>
      <c r="J54" s="119">
        <f t="shared" ref="J54" si="435">0.9/(J53^0.666666)</f>
        <v>2.8607055956309524</v>
      </c>
      <c r="K54" s="119">
        <f t="shared" ref="K54" si="436">0.9/(K53^0.666666)</f>
        <v>2.7055591619284649</v>
      </c>
      <c r="L54" s="119">
        <f t="shared" ref="L54" si="437">0.9/(L53^0.666666)</f>
        <v>2.8607055956309524</v>
      </c>
      <c r="M54" s="119">
        <f t="shared" ref="M54" si="438">0.9/(M53^0.666666)</f>
        <v>2.1418333293693008</v>
      </c>
      <c r="N54" s="119">
        <f t="shared" ref="N54" si="439">0.9/(N53^0.666666)</f>
        <v>2.3305700175960857</v>
      </c>
      <c r="O54" s="119">
        <f t="shared" ref="O54" si="440">0.9/(O53^0.666666)</f>
        <v>1.8450334373077528</v>
      </c>
      <c r="P54" s="119">
        <f t="shared" ref="P54" si="441">0.9/(P53^0.666666)</f>
        <v>2.3305700175960857</v>
      </c>
      <c r="Q54" s="119">
        <f t="shared" ref="Q54" si="442">0.9/(Q53^0.666666)</f>
        <v>1.5825133553020749</v>
      </c>
      <c r="R54" s="119">
        <f t="shared" ref="R54" si="443">0.9/(R53^0.666666)</f>
        <v>1.3888034701676408</v>
      </c>
      <c r="S54" s="119">
        <f t="shared" ref="S54" si="444">0.9/(S53^0.666666)</f>
        <v>1.2655649474344119</v>
      </c>
      <c r="T54" s="119">
        <f t="shared" ref="T54" si="445">0.9/(T53^0.666666)</f>
        <v>1.1181067240001394</v>
      </c>
      <c r="U54" s="119">
        <f t="shared" ref="U54" si="446">0.9/(U53^0.666666)</f>
        <v>1.3888034701676408</v>
      </c>
    </row>
    <row r="55" spans="1:21" hidden="1" x14ac:dyDescent="0.25">
      <c r="A55" s="30">
        <v>14</v>
      </c>
      <c r="B55" s="117">
        <f>A55*25.4*1.5</f>
        <v>533.4</v>
      </c>
      <c r="C55" s="23">
        <v>355.6</v>
      </c>
      <c r="D55" s="24">
        <v>3.96</v>
      </c>
      <c r="E55" s="25">
        <v>3.96</v>
      </c>
      <c r="F55" s="26">
        <v>6.35</v>
      </c>
      <c r="G55" s="26">
        <v>4.78</v>
      </c>
      <c r="H55" s="26">
        <v>7.92</v>
      </c>
      <c r="I55" s="26">
        <v>9.5299999999999994</v>
      </c>
      <c r="J55" s="26">
        <v>9.5299999999999994</v>
      </c>
      <c r="K55" s="26">
        <v>11.13</v>
      </c>
      <c r="L55" s="26">
        <v>9.5299999999999994</v>
      </c>
      <c r="M55" s="26">
        <v>15.09</v>
      </c>
      <c r="N55" s="31">
        <v>12.7</v>
      </c>
      <c r="O55" s="26">
        <v>19.05</v>
      </c>
      <c r="P55" s="26">
        <v>12.7</v>
      </c>
      <c r="Q55" s="26">
        <v>23.83</v>
      </c>
      <c r="R55" s="26">
        <v>27.79</v>
      </c>
      <c r="S55" s="26">
        <v>31.75</v>
      </c>
      <c r="T55" s="26">
        <v>35.71</v>
      </c>
      <c r="U55" s="35"/>
    </row>
    <row r="56" spans="1:21" hidden="1" x14ac:dyDescent="0.25">
      <c r="A56" s="30"/>
      <c r="B56" s="117">
        <f>B55</f>
        <v>533.4</v>
      </c>
      <c r="C56" s="14" t="s">
        <v>70</v>
      </c>
      <c r="D56" s="15">
        <f>($C55/2)-(D55/2)</f>
        <v>175.82000000000002</v>
      </c>
      <c r="E56" s="15">
        <f t="shared" ref="E56" si="447">($C55/2)-(E55/2)</f>
        <v>175.82000000000002</v>
      </c>
      <c r="F56" s="15">
        <f t="shared" ref="F56" si="448">($C55/2)-(F55/2)</f>
        <v>174.625</v>
      </c>
      <c r="G56" s="15">
        <f t="shared" ref="G56" si="449">($C55/2)-(G55/2)</f>
        <v>175.41000000000003</v>
      </c>
      <c r="H56" s="15">
        <f t="shared" ref="H56" si="450">($C55/2)-(H55/2)</f>
        <v>173.84</v>
      </c>
      <c r="I56" s="15">
        <f t="shared" ref="I56" si="451">($C55/2)-(I55/2)</f>
        <v>173.03500000000003</v>
      </c>
      <c r="J56" s="15">
        <f t="shared" ref="J56" si="452">($C55/2)-(J55/2)</f>
        <v>173.03500000000003</v>
      </c>
      <c r="K56" s="15">
        <f t="shared" ref="K56" si="453">($C55/2)-(K55/2)</f>
        <v>172.23500000000001</v>
      </c>
      <c r="L56" s="15">
        <f t="shared" ref="L56" si="454">($C55/2)-(L55/2)</f>
        <v>173.03500000000003</v>
      </c>
      <c r="M56" s="15">
        <f t="shared" ref="M56" si="455">($C55/2)-(M55/2)</f>
        <v>170.25500000000002</v>
      </c>
      <c r="N56" s="15">
        <f t="shared" ref="N56" si="456">($C55/2)-(N55/2)</f>
        <v>171.45000000000002</v>
      </c>
      <c r="O56" s="15">
        <f t="shared" ref="O56" si="457">($C55/2)-(O55/2)</f>
        <v>168.27500000000001</v>
      </c>
      <c r="P56" s="15">
        <f t="shared" ref="P56" si="458">($C55/2)-(P55/2)</f>
        <v>171.45000000000002</v>
      </c>
      <c r="Q56" s="15">
        <f t="shared" ref="Q56" si="459">($C55/2)-(Q55/2)</f>
        <v>165.88500000000002</v>
      </c>
      <c r="R56" s="15">
        <f t="shared" ref="R56" si="460">($C55/2)-(R55/2)</f>
        <v>163.905</v>
      </c>
      <c r="S56" s="15">
        <f t="shared" ref="S56" si="461">($C55/2)-(S55/2)</f>
        <v>161.92500000000001</v>
      </c>
      <c r="T56" s="15">
        <f t="shared" ref="T56" si="462">($C55/2)-(T55/2)</f>
        <v>159.94500000000002</v>
      </c>
      <c r="U56" s="15"/>
    </row>
    <row r="57" spans="1:21" hidden="1" x14ac:dyDescent="0.25">
      <c r="A57" s="30"/>
      <c r="B57" s="117">
        <f>B55</f>
        <v>533.4</v>
      </c>
      <c r="C57" s="14" t="s">
        <v>71</v>
      </c>
      <c r="D57" s="118">
        <f>D55*$B57/D56/D56</f>
        <v>6.8330035419389978E-2</v>
      </c>
      <c r="E57" s="118">
        <f t="shared" ref="E57" si="463">E55*$B57/E56/E56</f>
        <v>6.8330035419389978E-2</v>
      </c>
      <c r="F57" s="118">
        <f t="shared" ref="F57" si="464">F55*$B57/F56/F56</f>
        <v>0.11107438016528924</v>
      </c>
      <c r="G57" s="118">
        <f t="shared" ref="G57" si="465">G55*$B57/G56/G56</f>
        <v>8.2865205335293637E-2</v>
      </c>
      <c r="H57" s="118">
        <f t="shared" ref="H57" si="466">H55*$B57/H56/H56</f>
        <v>0.13979085666048766</v>
      </c>
      <c r="I57" s="118">
        <f t="shared" ref="I57" si="467">I55*$B57/I56/I56</f>
        <v>0.16977666466018074</v>
      </c>
      <c r="J57" s="118">
        <f t="shared" ref="J57" si="468">J55*$B57/J56/J56</f>
        <v>0.16977666466018074</v>
      </c>
      <c r="K57" s="118">
        <f t="shared" ref="K57" si="469">K55*$B57/K56/K56</f>
        <v>0.20012684875410677</v>
      </c>
      <c r="L57" s="118">
        <f t="shared" ref="L57" si="470">L55*$B57/L56/L56</f>
        <v>0.16977666466018074</v>
      </c>
      <c r="M57" s="118">
        <f t="shared" ref="M57" si="471">M55*$B57/M56/M56</f>
        <v>0.27767865758935262</v>
      </c>
      <c r="N57" s="118">
        <f t="shared" ref="N57" si="472">N55*$B57/N56/N56</f>
        <v>0.23045267489711929</v>
      </c>
      <c r="O57" s="118">
        <f t="shared" ref="O57" si="473">O55*$B57/O56/O56</f>
        <v>0.35884656461374154</v>
      </c>
      <c r="P57" s="118">
        <f t="shared" ref="P57" si="474">P55*$B57/P56/P56</f>
        <v>0.23045267489711929</v>
      </c>
      <c r="Q57" s="118">
        <f t="shared" ref="Q57" si="475">Q55*$B57/Q56/Q56</f>
        <v>0.46191580187542164</v>
      </c>
      <c r="R57" s="118">
        <f t="shared" ref="R57" si="476">R55*$B57/R56/R56</f>
        <v>0.55176881828763591</v>
      </c>
      <c r="S57" s="118">
        <f t="shared" ref="S57" si="477">S55*$B57/S56/S56</f>
        <v>0.64590542099192605</v>
      </c>
      <c r="T57" s="118">
        <f t="shared" ref="T57" si="478">T55*$B57/T56/T56</f>
        <v>0.74456312729441088</v>
      </c>
      <c r="U57" s="118"/>
    </row>
    <row r="58" spans="1:21" x14ac:dyDescent="0.25">
      <c r="A58" s="30"/>
      <c r="B58" s="117">
        <f>A55</f>
        <v>14</v>
      </c>
      <c r="C58" s="14" t="s">
        <v>73</v>
      </c>
      <c r="D58" s="119">
        <f>0.9/(D57^0.666666)</f>
        <v>5.3847717850416323</v>
      </c>
      <c r="E58" s="119">
        <f t="shared" ref="E58" si="479">0.9/(E57^0.666666)</f>
        <v>5.3847717850416323</v>
      </c>
      <c r="F58" s="119">
        <f t="shared" ref="F58" si="480">0.9/(F57^0.666666)</f>
        <v>3.8949265681941614</v>
      </c>
      <c r="G58" s="119">
        <f t="shared" ref="G58" si="481">0.9/(G57^0.666666)</f>
        <v>4.7350762955947783</v>
      </c>
      <c r="H58" s="119">
        <f t="shared" ref="H58" si="482">0.9/(H57^0.666666)</f>
        <v>3.3413560986700723</v>
      </c>
      <c r="I58" s="119">
        <f t="shared" ref="I58" si="483">0.9/(I57^0.666666)</f>
        <v>2.9353281831545193</v>
      </c>
      <c r="J58" s="119">
        <f t="shared" ref="J58" si="484">0.9/(J57^0.666666)</f>
        <v>2.9353281831545193</v>
      </c>
      <c r="K58" s="119">
        <f t="shared" ref="K58" si="485">0.9/(K57^0.666666)</f>
        <v>2.6305010068458938</v>
      </c>
      <c r="L58" s="119">
        <f t="shared" ref="L58" si="486">0.9/(L57^0.666666)</f>
        <v>2.9353281831545193</v>
      </c>
      <c r="M58" s="119">
        <f t="shared" ref="M58" si="487">0.9/(M57^0.666666)</f>
        <v>2.1145297725771504</v>
      </c>
      <c r="N58" s="119">
        <f t="shared" ref="N58" si="488">0.9/(N57^0.666666)</f>
        <v>2.3943497102655225</v>
      </c>
      <c r="O58" s="119">
        <f t="shared" ref="O58" si="489">0.9/(O57^0.666666)</f>
        <v>1.7822543529755799</v>
      </c>
      <c r="P58" s="119">
        <f t="shared" ref="P58" si="490">0.9/(P57^0.666666)</f>
        <v>2.3943497102655225</v>
      </c>
      <c r="Q58" s="119">
        <f t="shared" ref="Q58" si="491">0.9/(Q57^0.666666)</f>
        <v>1.5061460003293834</v>
      </c>
      <c r="R58" s="119">
        <f t="shared" ref="R58" si="492">0.9/(R57^0.666666)</f>
        <v>1.337840178494935</v>
      </c>
      <c r="S58" s="119">
        <f t="shared" ref="S58" si="493">0.9/(S57^0.666666)</f>
        <v>1.2044712271298106</v>
      </c>
      <c r="T58" s="119">
        <f t="shared" ref="T58" si="494">0.9/(T57^0.666666)</f>
        <v>1.0955732186538842</v>
      </c>
      <c r="U58" s="119"/>
    </row>
    <row r="59" spans="1:21" hidden="1" x14ac:dyDescent="0.25">
      <c r="A59" s="30">
        <v>16</v>
      </c>
      <c r="B59" s="117">
        <f>A59*25.4*1.5</f>
        <v>609.59999999999991</v>
      </c>
      <c r="C59" s="23">
        <v>406.4</v>
      </c>
      <c r="D59" s="24">
        <v>4.1900000000000004</v>
      </c>
      <c r="E59" s="25">
        <v>4.1900000000000004</v>
      </c>
      <c r="F59" s="26">
        <v>6.35</v>
      </c>
      <c r="G59" s="26">
        <v>4.78</v>
      </c>
      <c r="H59" s="26">
        <v>7.92</v>
      </c>
      <c r="I59" s="26">
        <v>9.5299999999999994</v>
      </c>
      <c r="J59" s="26">
        <v>9.5299999999999994</v>
      </c>
      <c r="K59" s="31">
        <v>12.7</v>
      </c>
      <c r="L59" s="26">
        <v>9.5299999999999994</v>
      </c>
      <c r="M59" s="26">
        <v>16.66</v>
      </c>
      <c r="N59" s="31">
        <v>12.7</v>
      </c>
      <c r="O59" s="26">
        <v>21.44</v>
      </c>
      <c r="P59" s="26">
        <v>12.7</v>
      </c>
      <c r="Q59" s="26">
        <v>26.19</v>
      </c>
      <c r="R59" s="26">
        <v>30.96</v>
      </c>
      <c r="S59" s="26">
        <v>36.53</v>
      </c>
      <c r="T59" s="26">
        <v>40.49</v>
      </c>
      <c r="U59" s="35"/>
    </row>
    <row r="60" spans="1:21" hidden="1" x14ac:dyDescent="0.25">
      <c r="A60" s="30"/>
      <c r="B60" s="117">
        <f>B59</f>
        <v>609.59999999999991</v>
      </c>
      <c r="C60" s="14" t="s">
        <v>70</v>
      </c>
      <c r="D60" s="15">
        <f>($C59/2)-(D59/2)</f>
        <v>201.10499999999999</v>
      </c>
      <c r="E60" s="15">
        <f t="shared" ref="E60" si="495">($C59/2)-(E59/2)</f>
        <v>201.10499999999999</v>
      </c>
      <c r="F60" s="15">
        <f t="shared" ref="F60" si="496">($C59/2)-(F59/2)</f>
        <v>200.02499999999998</v>
      </c>
      <c r="G60" s="15">
        <f t="shared" ref="G60" si="497">($C59/2)-(G59/2)</f>
        <v>200.81</v>
      </c>
      <c r="H60" s="15">
        <f t="shared" ref="H60" si="498">($C59/2)-(H59/2)</f>
        <v>199.23999999999998</v>
      </c>
      <c r="I60" s="15">
        <f t="shared" ref="I60" si="499">($C59/2)-(I59/2)</f>
        <v>198.435</v>
      </c>
      <c r="J60" s="15">
        <f t="shared" ref="J60" si="500">($C59/2)-(J59/2)</f>
        <v>198.435</v>
      </c>
      <c r="K60" s="15">
        <f t="shared" ref="K60" si="501">($C59/2)-(K59/2)</f>
        <v>196.85</v>
      </c>
      <c r="L60" s="15">
        <f t="shared" ref="L60" si="502">($C59/2)-(L59/2)</f>
        <v>198.435</v>
      </c>
      <c r="M60" s="15">
        <f t="shared" ref="M60" si="503">($C59/2)-(M59/2)</f>
        <v>194.86999999999998</v>
      </c>
      <c r="N60" s="15">
        <f t="shared" ref="N60" si="504">($C59/2)-(N59/2)</f>
        <v>196.85</v>
      </c>
      <c r="O60" s="15">
        <f t="shared" ref="O60" si="505">($C59/2)-(O59/2)</f>
        <v>192.48</v>
      </c>
      <c r="P60" s="15">
        <f t="shared" ref="P60" si="506">($C59/2)-(P59/2)</f>
        <v>196.85</v>
      </c>
      <c r="Q60" s="15">
        <f t="shared" ref="Q60" si="507">($C59/2)-(Q59/2)</f>
        <v>190.10499999999999</v>
      </c>
      <c r="R60" s="15">
        <f t="shared" ref="R60" si="508">($C59/2)-(R59/2)</f>
        <v>187.72</v>
      </c>
      <c r="S60" s="15">
        <f t="shared" ref="S60" si="509">($C59/2)-(S59/2)</f>
        <v>184.935</v>
      </c>
      <c r="T60" s="15">
        <f t="shared" ref="T60" si="510">($C59/2)-(T59/2)</f>
        <v>182.95499999999998</v>
      </c>
      <c r="U60" s="15"/>
    </row>
    <row r="61" spans="1:21" hidden="1" x14ac:dyDescent="0.25">
      <c r="A61" s="30"/>
      <c r="B61" s="117">
        <f>B59</f>
        <v>609.59999999999991</v>
      </c>
      <c r="C61" s="14" t="s">
        <v>71</v>
      </c>
      <c r="D61" s="118">
        <f>D59*$B61/D60/D60</f>
        <v>6.3155800533817641E-2</v>
      </c>
      <c r="E61" s="118">
        <f t="shared" ref="E61" si="511">E59*$B61/E60/E60</f>
        <v>6.3155800533817641E-2</v>
      </c>
      <c r="F61" s="118">
        <f t="shared" ref="F61" si="512">F59*$B61/F60/F60</f>
        <v>9.6749811035525324E-2</v>
      </c>
      <c r="G61" s="118">
        <f t="shared" ref="G61" si="513">G59*$B61/G60/G60</f>
        <v>7.2260703049120356E-2</v>
      </c>
      <c r="H61" s="118">
        <f t="shared" ref="H61" si="514">H59*$B61/H60/H60</f>
        <v>0.12162338145744836</v>
      </c>
      <c r="I61" s="118">
        <f t="shared" ref="I61" si="515">I59*$B61/I60/I60</f>
        <v>0.14753712217178716</v>
      </c>
      <c r="J61" s="118">
        <f t="shared" ref="J61" si="516">J59*$B61/J60/J60</f>
        <v>0.14753712217178716</v>
      </c>
      <c r="K61" s="118">
        <f t="shared" ref="K61" si="517">K59*$B61/K60/K60</f>
        <v>0.19979188345473461</v>
      </c>
      <c r="L61" s="118">
        <f t="shared" ref="L61" si="518">L59*$B61/L60/L60</f>
        <v>0.14753712217178716</v>
      </c>
      <c r="M61" s="118">
        <f t="shared" ref="M61" si="519">M59*$B61/M60/M60</f>
        <v>0.26744223014581731</v>
      </c>
      <c r="N61" s="118">
        <f t="shared" ref="N61" si="520">N59*$B61/N60/N60</f>
        <v>0.19979188345473461</v>
      </c>
      <c r="O61" s="118">
        <f t="shared" ref="O61" si="521">O59*$B61/O60/O60</f>
        <v>0.35277558389976849</v>
      </c>
      <c r="P61" s="118">
        <f t="shared" ref="P61" si="522">P59*$B61/P60/P60</f>
        <v>0.19979188345473461</v>
      </c>
      <c r="Q61" s="118">
        <f t="shared" ref="Q61" si="523">Q59*$B61/Q60/Q60</f>
        <v>0.44176710863941593</v>
      </c>
      <c r="R61" s="118">
        <f t="shared" ref="R61" si="524">R59*$B61/R60/R60</f>
        <v>0.53558057757156663</v>
      </c>
      <c r="S61" s="118">
        <f t="shared" ref="S61" si="525">S59*$B61/S60/S60</f>
        <v>0.65111306115904133</v>
      </c>
      <c r="T61" s="118">
        <f t="shared" ref="T61" si="526">T59*$B61/T60/T60</f>
        <v>0.7374017591966141</v>
      </c>
      <c r="U61" s="118"/>
    </row>
    <row r="62" spans="1:21" x14ac:dyDescent="0.25">
      <c r="A62" s="30"/>
      <c r="B62" s="117">
        <f>A59</f>
        <v>16</v>
      </c>
      <c r="C62" s="14" t="s">
        <v>73</v>
      </c>
      <c r="D62" s="119">
        <f>0.9/(D61^0.666666)</f>
        <v>5.6750045416977546</v>
      </c>
      <c r="E62" s="119">
        <f t="shared" ref="E62" si="527">0.9/(E61^0.666666)</f>
        <v>5.6750045416977546</v>
      </c>
      <c r="F62" s="119">
        <f t="shared" ref="F62" si="528">0.9/(F61^0.666666)</f>
        <v>4.2704641748563077</v>
      </c>
      <c r="G62" s="119">
        <f t="shared" ref="G62" si="529">0.9/(G61^0.666666)</f>
        <v>5.1876853512204297</v>
      </c>
      <c r="H62" s="119">
        <f t="shared" ref="H62" si="530">0.9/(H61^0.666666)</f>
        <v>3.6663212577669531</v>
      </c>
      <c r="I62" s="119">
        <f t="shared" ref="I62" si="531">0.9/(I61^0.666666)</f>
        <v>3.2233521163284138</v>
      </c>
      <c r="J62" s="119">
        <f t="shared" ref="J62" si="532">0.9/(J61^0.666666)</f>
        <v>3.2233521163284138</v>
      </c>
      <c r="K62" s="119">
        <f t="shared" ref="K62" si="533">0.9/(K61^0.666666)</f>
        <v>2.6334403309467143</v>
      </c>
      <c r="L62" s="119">
        <f t="shared" ref="L62" si="534">0.9/(L61^0.666666)</f>
        <v>3.2233521163284138</v>
      </c>
      <c r="M62" s="119">
        <f t="shared" ref="M62" si="535">0.9/(M61^0.666666)</f>
        <v>2.1681474005901635</v>
      </c>
      <c r="N62" s="119">
        <f t="shared" ref="N62" si="536">0.9/(N61^0.666666)</f>
        <v>2.6334403309467143</v>
      </c>
      <c r="O62" s="119">
        <f t="shared" ref="O62" si="537">0.9/(O61^0.666666)</f>
        <v>1.802643560664815</v>
      </c>
      <c r="P62" s="119">
        <f t="shared" ref="P62" si="538">0.9/(P61^0.666666)</f>
        <v>2.6334403309467143</v>
      </c>
      <c r="Q62" s="119">
        <f t="shared" ref="Q62" si="539">0.9/(Q61^0.666666)</f>
        <v>1.5516008936835084</v>
      </c>
      <c r="R62" s="119">
        <f t="shared" ref="R62" si="540">0.9/(R61^0.666666)</f>
        <v>1.3646641493241767</v>
      </c>
      <c r="S62" s="119">
        <f t="shared" ref="S62" si="541">0.9/(S61^0.666666)</f>
        <v>1.1980403546699423</v>
      </c>
      <c r="T62" s="119">
        <f t="shared" ref="T62" si="542">0.9/(T61^0.666666)</f>
        <v>1.1026549760074129</v>
      </c>
      <c r="U62" s="119"/>
    </row>
    <row r="63" spans="1:21" hidden="1" x14ac:dyDescent="0.25">
      <c r="A63" s="30">
        <v>18</v>
      </c>
      <c r="B63" s="117">
        <f>A63*25.4*1.5</f>
        <v>685.8</v>
      </c>
      <c r="C63" s="23">
        <v>457</v>
      </c>
      <c r="D63" s="24">
        <v>4.1900000000000004</v>
      </c>
      <c r="E63" s="25">
        <v>4.1900000000000004</v>
      </c>
      <c r="F63" s="26">
        <v>6.35</v>
      </c>
      <c r="G63" s="26">
        <v>4.78</v>
      </c>
      <c r="H63" s="26">
        <v>7.92</v>
      </c>
      <c r="I63" s="26">
        <v>11.13</v>
      </c>
      <c r="J63" s="26">
        <v>9.5299999999999994</v>
      </c>
      <c r="K63" s="26">
        <v>14.27</v>
      </c>
      <c r="L63" s="26">
        <v>9.5299999999999994</v>
      </c>
      <c r="M63" s="26">
        <v>19.05</v>
      </c>
      <c r="N63" s="31">
        <v>12.7</v>
      </c>
      <c r="O63" s="26">
        <v>23.83</v>
      </c>
      <c r="P63" s="26">
        <v>12.7</v>
      </c>
      <c r="Q63" s="26">
        <v>29.36</v>
      </c>
      <c r="R63" s="26">
        <v>34.93</v>
      </c>
      <c r="S63" s="26">
        <v>39.67</v>
      </c>
      <c r="T63" s="26">
        <v>45.24</v>
      </c>
      <c r="U63" s="35"/>
    </row>
    <row r="64" spans="1:21" hidden="1" x14ac:dyDescent="0.25">
      <c r="A64" s="30"/>
      <c r="B64" s="117">
        <f>B63</f>
        <v>685.8</v>
      </c>
      <c r="C64" s="14" t="s">
        <v>70</v>
      </c>
      <c r="D64" s="15">
        <f>($C63/2)-(D63/2)</f>
        <v>226.405</v>
      </c>
      <c r="E64" s="15">
        <f t="shared" ref="E64" si="543">($C63/2)-(E63/2)</f>
        <v>226.405</v>
      </c>
      <c r="F64" s="15">
        <f t="shared" ref="F64" si="544">($C63/2)-(F63/2)</f>
        <v>225.32499999999999</v>
      </c>
      <c r="G64" s="15">
        <f t="shared" ref="G64" si="545">($C63/2)-(G63/2)</f>
        <v>226.11</v>
      </c>
      <c r="H64" s="15">
        <f t="shared" ref="H64" si="546">($C63/2)-(H63/2)</f>
        <v>224.54</v>
      </c>
      <c r="I64" s="15">
        <f t="shared" ref="I64" si="547">($C63/2)-(I63/2)</f>
        <v>222.935</v>
      </c>
      <c r="J64" s="15">
        <f t="shared" ref="J64" si="548">($C63/2)-(J63/2)</f>
        <v>223.73500000000001</v>
      </c>
      <c r="K64" s="15">
        <f t="shared" ref="K64" si="549">($C63/2)-(K63/2)</f>
        <v>221.36500000000001</v>
      </c>
      <c r="L64" s="15">
        <f t="shared" ref="L64" si="550">($C63/2)-(L63/2)</f>
        <v>223.73500000000001</v>
      </c>
      <c r="M64" s="15">
        <f t="shared" ref="M64" si="551">($C63/2)-(M63/2)</f>
        <v>218.97499999999999</v>
      </c>
      <c r="N64" s="15">
        <f t="shared" ref="N64" si="552">($C63/2)-(N63/2)</f>
        <v>222.15</v>
      </c>
      <c r="O64" s="15">
        <f t="shared" ref="O64" si="553">($C63/2)-(O63/2)</f>
        <v>216.58500000000001</v>
      </c>
      <c r="P64" s="15">
        <f t="shared" ref="P64" si="554">($C63/2)-(P63/2)</f>
        <v>222.15</v>
      </c>
      <c r="Q64" s="15">
        <f t="shared" ref="Q64" si="555">($C63/2)-(Q63/2)</f>
        <v>213.82</v>
      </c>
      <c r="R64" s="15">
        <f t="shared" ref="R64" si="556">($C63/2)-(R63/2)</f>
        <v>211.035</v>
      </c>
      <c r="S64" s="15">
        <f t="shared" ref="S64" si="557">($C63/2)-(S63/2)</f>
        <v>208.66499999999999</v>
      </c>
      <c r="T64" s="15">
        <f t="shared" ref="T64" si="558">($C63/2)-(T63/2)</f>
        <v>205.88</v>
      </c>
      <c r="U64" s="15"/>
    </row>
    <row r="65" spans="1:21" hidden="1" x14ac:dyDescent="0.25">
      <c r="A65" s="30"/>
      <c r="B65" s="117">
        <f>B63</f>
        <v>685.8</v>
      </c>
      <c r="C65" s="14" t="s">
        <v>71</v>
      </c>
      <c r="D65" s="118">
        <f>D63*$B65/D64/D64</f>
        <v>5.6058242290178723E-2</v>
      </c>
      <c r="E65" s="118">
        <f t="shared" ref="E65" si="559">E63*$B65/E64/E64</f>
        <v>5.6058242290178723E-2</v>
      </c>
      <c r="F65" s="118">
        <f t="shared" ref="F65" si="560">F63*$B65/F64/F64</f>
        <v>8.5773364653979528E-2</v>
      </c>
      <c r="G65" s="118">
        <f t="shared" ref="G65" si="561">G63*$B65/G64/G64</f>
        <v>6.4118866671446631E-2</v>
      </c>
      <c r="H65" s="118">
        <f t="shared" ref="H65" si="562">H63*$B65/H64/H64</f>
        <v>0.10772964426211419</v>
      </c>
      <c r="I65" s="118">
        <f t="shared" ref="I65" si="563">I63*$B65/I64/I64</f>
        <v>0.15358051942287948</v>
      </c>
      <c r="J65" s="118">
        <f t="shared" ref="J65" si="564">J63*$B65/J64/J64</f>
        <v>0.13056372282238593</v>
      </c>
      <c r="K65" s="118">
        <f t="shared" ref="K65" si="565">K63*$B65/K64/K64</f>
        <v>0.19971171561447557</v>
      </c>
      <c r="L65" s="118">
        <f t="shared" ref="L65" si="566">L63*$B65/L64/L64</f>
        <v>0.13056372282238593</v>
      </c>
      <c r="M65" s="118">
        <f t="shared" ref="M65" si="567">M63*$B65/M64/M64</f>
        <v>0.27246040055666781</v>
      </c>
      <c r="N65" s="118">
        <f t="shared" ref="N65" si="568">N63*$B65/N64/N64</f>
        <v>0.17648531181141633</v>
      </c>
      <c r="O65" s="118">
        <f t="shared" ref="O65" si="569">O63*$B65/O64/O64</f>
        <v>0.34838927117349761</v>
      </c>
      <c r="P65" s="118">
        <f t="shared" ref="P65" si="570">P63*$B65/P64/P64</f>
        <v>0.17648531181141633</v>
      </c>
      <c r="Q65" s="118">
        <f t="shared" ref="Q65" si="571">Q63*$B65/Q64/Q64</f>
        <v>0.44040970596718576</v>
      </c>
      <c r="R65" s="118">
        <f t="shared" ref="R65" si="572">R63*$B65/R64/R64</f>
        <v>0.53788209659548791</v>
      </c>
      <c r="S65" s="118">
        <f t="shared" ref="S65" si="573">S63*$B65/S64/S64</f>
        <v>0.6248279695808594</v>
      </c>
      <c r="T65" s="118">
        <f t="shared" ref="T65" si="574">T63*$B65/T64/T64</f>
        <v>0.73196743164977263</v>
      </c>
      <c r="U65" s="118"/>
    </row>
    <row r="66" spans="1:21" x14ac:dyDescent="0.25">
      <c r="A66" s="30"/>
      <c r="B66" s="117">
        <f>A63</f>
        <v>18</v>
      </c>
      <c r="C66" s="14" t="s">
        <v>73</v>
      </c>
      <c r="D66" s="119">
        <f>0.9/(D65^0.666666)</f>
        <v>6.1444359904313552</v>
      </c>
      <c r="E66" s="119">
        <f t="shared" ref="E66" si="575">0.9/(E65^0.666666)</f>
        <v>6.1444359904313552</v>
      </c>
      <c r="F66" s="119">
        <f t="shared" ref="F66" si="576">0.9/(F65^0.666666)</f>
        <v>4.6274332972886985</v>
      </c>
      <c r="G66" s="119">
        <f t="shared" ref="G66" si="577">0.9/(G65^0.666666)</f>
        <v>5.6180356294253402</v>
      </c>
      <c r="H66" s="119">
        <f t="shared" ref="H66" si="578">0.9/(H65^0.666666)</f>
        <v>3.9751334573783432</v>
      </c>
      <c r="I66" s="119">
        <f t="shared" ref="I66" si="579">0.9/(I65^0.666666)</f>
        <v>3.1382283804492994</v>
      </c>
      <c r="J66" s="119">
        <f t="shared" ref="J66" si="580">0.9/(J65^0.666666)</f>
        <v>3.4969833948981321</v>
      </c>
      <c r="K66" s="119">
        <f t="shared" ref="K66" si="581">0.9/(K65^0.666666)</f>
        <v>2.6341450230079761</v>
      </c>
      <c r="L66" s="119">
        <f t="shared" ref="L66" si="582">0.9/(L65^0.666666)</f>
        <v>3.4969833948981321</v>
      </c>
      <c r="M66" s="119">
        <f t="shared" ref="M66" si="583">0.9/(M65^0.666666)</f>
        <v>2.1414430991566298</v>
      </c>
      <c r="N66" s="119">
        <f t="shared" ref="N66" si="584">0.9/(N65^0.666666)</f>
        <v>2.8604627473340369</v>
      </c>
      <c r="O66" s="119">
        <f t="shared" ref="O66" si="585">0.9/(O65^0.666666)</f>
        <v>1.8177424773171786</v>
      </c>
      <c r="P66" s="119">
        <f t="shared" ref="P66" si="586">0.9/(P65^0.666666)</f>
        <v>2.8604627473340369</v>
      </c>
      <c r="Q66" s="119">
        <f t="shared" ref="Q66" si="587">0.9/(Q65^0.666666)</f>
        <v>1.5547874184694785</v>
      </c>
      <c r="R66" s="119">
        <f t="shared" ref="R66" si="588">0.9/(R65^0.666666)</f>
        <v>1.3607685725917504</v>
      </c>
      <c r="S66" s="119">
        <f t="shared" ref="S66" si="589">0.9/(S65^0.666666)</f>
        <v>1.2314082683009153</v>
      </c>
      <c r="T66" s="119">
        <f t="shared" ref="T66" si="590">0.9/(T65^0.666666)</f>
        <v>1.1081058488229527</v>
      </c>
      <c r="U66" s="119"/>
    </row>
    <row r="67" spans="1:21" hidden="1" x14ac:dyDescent="0.25">
      <c r="A67" s="30">
        <v>20</v>
      </c>
      <c r="B67" s="117">
        <f>A67*25.4*1.5</f>
        <v>762</v>
      </c>
      <c r="C67" s="23">
        <v>508</v>
      </c>
      <c r="D67" s="24">
        <v>4.78</v>
      </c>
      <c r="E67" s="25">
        <v>4.78</v>
      </c>
      <c r="F67" s="26">
        <v>6.35</v>
      </c>
      <c r="G67" s="26">
        <v>5.54</v>
      </c>
      <c r="H67" s="26">
        <v>9.5299999999999994</v>
      </c>
      <c r="I67" s="31">
        <v>12.7</v>
      </c>
      <c r="J67" s="26">
        <v>9.5299999999999994</v>
      </c>
      <c r="K67" s="26">
        <v>15.09</v>
      </c>
      <c r="L67" s="26">
        <v>9.5299999999999994</v>
      </c>
      <c r="M67" s="26">
        <v>20.62</v>
      </c>
      <c r="N67" s="31">
        <v>12.7</v>
      </c>
      <c r="O67" s="26">
        <v>26.19</v>
      </c>
      <c r="P67" s="26">
        <v>12.7</v>
      </c>
      <c r="Q67" s="26">
        <v>32.54</v>
      </c>
      <c r="R67" s="31">
        <v>38.1</v>
      </c>
      <c r="S67" s="26">
        <v>44.45</v>
      </c>
      <c r="T67" s="26">
        <v>50.01</v>
      </c>
      <c r="U67" s="35"/>
    </row>
    <row r="68" spans="1:21" hidden="1" x14ac:dyDescent="0.25">
      <c r="A68" s="30"/>
      <c r="B68" s="117">
        <f>B67</f>
        <v>762</v>
      </c>
      <c r="C68" s="14" t="s">
        <v>70</v>
      </c>
      <c r="D68" s="15">
        <f>($C67/2)-(D67/2)</f>
        <v>251.61</v>
      </c>
      <c r="E68" s="15">
        <f t="shared" ref="E68" si="591">($C67/2)-(E67/2)</f>
        <v>251.61</v>
      </c>
      <c r="F68" s="15">
        <f t="shared" ref="F68" si="592">($C67/2)-(F67/2)</f>
        <v>250.82499999999999</v>
      </c>
      <c r="G68" s="15">
        <f t="shared" ref="G68" si="593">($C67/2)-(G67/2)</f>
        <v>251.23</v>
      </c>
      <c r="H68" s="15">
        <f t="shared" ref="H68" si="594">($C67/2)-(H67/2)</f>
        <v>249.23500000000001</v>
      </c>
      <c r="I68" s="15">
        <f t="shared" ref="I68" si="595">($C67/2)-(I67/2)</f>
        <v>247.65</v>
      </c>
      <c r="J68" s="15">
        <f t="shared" ref="J68" si="596">($C67/2)-(J67/2)</f>
        <v>249.23500000000001</v>
      </c>
      <c r="K68" s="15">
        <f t="shared" ref="K68" si="597">($C67/2)-(K67/2)</f>
        <v>246.45500000000001</v>
      </c>
      <c r="L68" s="15">
        <f t="shared" ref="L68" si="598">($C67/2)-(L67/2)</f>
        <v>249.23500000000001</v>
      </c>
      <c r="M68" s="15">
        <f t="shared" ref="M68" si="599">($C67/2)-(M67/2)</f>
        <v>243.69</v>
      </c>
      <c r="N68" s="15">
        <f t="shared" ref="N68" si="600">($C67/2)-(N67/2)</f>
        <v>247.65</v>
      </c>
      <c r="O68" s="15">
        <f t="shared" ref="O68" si="601">($C67/2)-(O67/2)</f>
        <v>240.905</v>
      </c>
      <c r="P68" s="15">
        <f t="shared" ref="P68" si="602">($C67/2)-(P67/2)</f>
        <v>247.65</v>
      </c>
      <c r="Q68" s="15">
        <f t="shared" ref="Q68" si="603">($C67/2)-(Q67/2)</f>
        <v>237.73</v>
      </c>
      <c r="R68" s="15">
        <f t="shared" ref="R68" si="604">($C67/2)-(R67/2)</f>
        <v>234.95</v>
      </c>
      <c r="S68" s="15">
        <f t="shared" ref="S68" si="605">($C67/2)-(S67/2)</f>
        <v>231.77500000000001</v>
      </c>
      <c r="T68" s="15">
        <f t="shared" ref="T68" si="606">($C67/2)-(T67/2)</f>
        <v>228.995</v>
      </c>
      <c r="U68" s="15"/>
    </row>
    <row r="69" spans="1:21" hidden="1" x14ac:dyDescent="0.25">
      <c r="A69" s="30"/>
      <c r="B69" s="117">
        <f>B67</f>
        <v>762</v>
      </c>
      <c r="C69" s="14" t="s">
        <v>71</v>
      </c>
      <c r="D69" s="118">
        <f>D67*$B69/D68/D68</f>
        <v>5.7534331652459102E-2</v>
      </c>
      <c r="E69" s="118">
        <f t="shared" ref="E69" si="607">E67*$B69/E68/E68</f>
        <v>5.7534331652459102E-2</v>
      </c>
      <c r="F69" s="118">
        <f t="shared" ref="F69" si="608">F67*$B69/F68/F68</f>
        <v>7.6910751482134276E-2</v>
      </c>
      <c r="G69" s="118">
        <f t="shared" ref="G69" si="609">G67*$B69/G68/G68</f>
        <v>6.6883923176940918E-2</v>
      </c>
      <c r="H69" s="118">
        <f t="shared" ref="H69" si="610">H67*$B69/H68/H68</f>
        <v>0.11690411856219604</v>
      </c>
      <c r="I69" s="118">
        <f t="shared" ref="I69" si="611">I67*$B69/I68/I68</f>
        <v>0.15779092702169623</v>
      </c>
      <c r="J69" s="118">
        <f t="shared" ref="J69" si="612">J67*$B69/J68/J68</f>
        <v>0.11690411856219604</v>
      </c>
      <c r="K69" s="118">
        <f t="shared" ref="K69" si="613">K67*$B69/K68/K68</f>
        <v>0.18930798998406273</v>
      </c>
      <c r="L69" s="118">
        <f t="shared" ref="L69" si="614">L67*$B69/L68/L68</f>
        <v>0.11690411856219604</v>
      </c>
      <c r="M69" s="118">
        <f t="shared" ref="M69" si="615">M67*$B69/M68/M68</f>
        <v>0.26458682592434601</v>
      </c>
      <c r="N69" s="118">
        <f t="shared" ref="N69" si="616">N67*$B69/N68/N68</f>
        <v>0.15779092702169623</v>
      </c>
      <c r="O69" s="118">
        <f t="shared" ref="O69" si="617">O67*$B69/O68/O68</f>
        <v>0.34387360529135186</v>
      </c>
      <c r="P69" s="118">
        <f t="shared" ref="P69" si="618">P67*$B69/P68/P68</f>
        <v>0.15779092702169623</v>
      </c>
      <c r="Q69" s="118">
        <f t="shared" ref="Q69" si="619">Q67*$B69/Q68/Q68</f>
        <v>0.43873728076010743</v>
      </c>
      <c r="R69" s="118">
        <f t="shared" ref="R69" si="620">R67*$B69/R68/R68</f>
        <v>0.52593133674214765</v>
      </c>
      <c r="S69" s="118">
        <f t="shared" ref="S69" si="621">S67*$B69/S68/S68</f>
        <v>0.63051229123662977</v>
      </c>
      <c r="T69" s="118">
        <f t="shared" ref="T69" si="622">T67*$B69/T68/T68</f>
        <v>0.72670780768314658</v>
      </c>
      <c r="U69" s="118"/>
    </row>
    <row r="70" spans="1:21" x14ac:dyDescent="0.25">
      <c r="A70" s="30"/>
      <c r="B70" s="117">
        <f>A67</f>
        <v>20</v>
      </c>
      <c r="C70" s="14" t="s">
        <v>73</v>
      </c>
      <c r="D70" s="119">
        <f>0.9/(D69^0.666666)</f>
        <v>6.0388878982381282</v>
      </c>
      <c r="E70" s="119">
        <f t="shared" ref="E70" si="623">0.9/(E69^0.666666)</f>
        <v>6.0388878982381282</v>
      </c>
      <c r="F70" s="119">
        <f t="shared" ref="F70" si="624">0.9/(F69^0.666666)</f>
        <v>4.976420421025975</v>
      </c>
      <c r="G70" s="119">
        <f t="shared" ref="G70" si="625">0.9/(G69^0.666666)</f>
        <v>5.4621115683999095</v>
      </c>
      <c r="H70" s="119">
        <f t="shared" ref="H70" si="626">0.9/(H69^0.666666)</f>
        <v>3.764338592431876</v>
      </c>
      <c r="I70" s="119">
        <f t="shared" ref="I70" si="627">0.9/(I69^0.666666)</f>
        <v>3.0821513167631833</v>
      </c>
      <c r="J70" s="119">
        <f t="shared" ref="J70" si="628">0.9/(J69^0.666666)</f>
        <v>3.764338592431876</v>
      </c>
      <c r="K70" s="119">
        <f t="shared" ref="K70" si="629">0.9/(K69^0.666666)</f>
        <v>2.7297910027393621</v>
      </c>
      <c r="L70" s="119">
        <f t="shared" ref="L70" si="630">0.9/(L69^0.666666)</f>
        <v>3.764338592431876</v>
      </c>
      <c r="M70" s="119">
        <f t="shared" ref="M70" si="631">0.9/(M69^0.666666)</f>
        <v>2.1837184674814445</v>
      </c>
      <c r="N70" s="119">
        <f t="shared" ref="N70" si="632">0.9/(N69^0.666666)</f>
        <v>3.0821513167631833</v>
      </c>
      <c r="O70" s="119">
        <f t="shared" ref="O70" si="633">0.9/(O69^0.666666)</f>
        <v>1.8336212739536797</v>
      </c>
      <c r="P70" s="119">
        <f t="shared" ref="P70" si="634">0.9/(P69^0.666666)</f>
        <v>3.0821513167631833</v>
      </c>
      <c r="Q70" s="119">
        <f t="shared" ref="Q70" si="635">0.9/(Q69^0.666666)</f>
        <v>1.5587360440369209</v>
      </c>
      <c r="R70" s="119">
        <f t="shared" ref="R70" si="636">0.9/(R69^0.666666)</f>
        <v>1.3813051293485852</v>
      </c>
      <c r="S70" s="119">
        <f t="shared" ref="S70" si="637">0.9/(S69^0.666666)</f>
        <v>1.2239960166983705</v>
      </c>
      <c r="T70" s="119">
        <f t="shared" ref="T70" si="638">0.9/(T69^0.666666)</f>
        <v>1.1134461027834994</v>
      </c>
      <c r="U70" s="119"/>
    </row>
    <row r="71" spans="1:21" hidden="1" x14ac:dyDescent="0.25">
      <c r="A71" s="30">
        <v>22</v>
      </c>
      <c r="B71" s="117">
        <f>A71*25.4*1.5</f>
        <v>838.19999999999993</v>
      </c>
      <c r="C71" s="23">
        <v>559</v>
      </c>
      <c r="D71" s="24">
        <v>4.78</v>
      </c>
      <c r="E71" s="25">
        <v>4.78</v>
      </c>
      <c r="F71" s="26">
        <v>6.35</v>
      </c>
      <c r="G71" s="26">
        <v>5.54</v>
      </c>
      <c r="H71" s="26">
        <v>9.5299999999999994</v>
      </c>
      <c r="I71" s="31">
        <v>12.7</v>
      </c>
      <c r="J71" s="26">
        <v>9.5299999999999994</v>
      </c>
      <c r="K71" s="20"/>
      <c r="L71" s="20"/>
      <c r="M71" s="26">
        <v>22.23</v>
      </c>
      <c r="N71" s="31">
        <v>12.7</v>
      </c>
      <c r="O71" s="26">
        <v>28.58</v>
      </c>
      <c r="P71" s="20"/>
      <c r="Q71" s="26">
        <v>34.93</v>
      </c>
      <c r="R71" s="26">
        <v>41.28</v>
      </c>
      <c r="S71" s="26">
        <v>47.63</v>
      </c>
      <c r="T71" s="26">
        <v>53.98</v>
      </c>
      <c r="U71" s="35"/>
    </row>
    <row r="72" spans="1:21" hidden="1" x14ac:dyDescent="0.25">
      <c r="A72" s="30"/>
      <c r="B72" s="117">
        <f>B71</f>
        <v>838.19999999999993</v>
      </c>
      <c r="C72" s="14" t="s">
        <v>70</v>
      </c>
      <c r="D72" s="15">
        <f>($C71/2)-(D71/2)</f>
        <v>277.11</v>
      </c>
      <c r="E72" s="15">
        <f t="shared" ref="E72" si="639">($C71/2)-(E71/2)</f>
        <v>277.11</v>
      </c>
      <c r="F72" s="15">
        <f t="shared" ref="F72" si="640">($C71/2)-(F71/2)</f>
        <v>276.32499999999999</v>
      </c>
      <c r="G72" s="15">
        <f t="shared" ref="G72" si="641">($C71/2)-(G71/2)</f>
        <v>276.73</v>
      </c>
      <c r="H72" s="15">
        <f t="shared" ref="H72" si="642">($C71/2)-(H71/2)</f>
        <v>274.73500000000001</v>
      </c>
      <c r="I72" s="15">
        <f t="shared" ref="I72" si="643">($C71/2)-(I71/2)</f>
        <v>273.14999999999998</v>
      </c>
      <c r="J72" s="15">
        <f t="shared" ref="J72" si="644">($C71/2)-(J71/2)</f>
        <v>274.73500000000001</v>
      </c>
      <c r="K72" s="15"/>
      <c r="L72" s="15"/>
      <c r="M72" s="15">
        <f t="shared" ref="M72" si="645">($C71/2)-(M71/2)</f>
        <v>268.38499999999999</v>
      </c>
      <c r="N72" s="15">
        <f t="shared" ref="N72" si="646">($C71/2)-(N71/2)</f>
        <v>273.14999999999998</v>
      </c>
      <c r="O72" s="15">
        <f t="shared" ref="O72" si="647">($C71/2)-(O71/2)</f>
        <v>265.20999999999998</v>
      </c>
      <c r="P72" s="15"/>
      <c r="Q72" s="15">
        <f t="shared" ref="Q72" si="648">($C71/2)-(Q71/2)</f>
        <v>262.03500000000003</v>
      </c>
      <c r="R72" s="15">
        <f t="shared" ref="R72" si="649">($C71/2)-(R71/2)</f>
        <v>258.86</v>
      </c>
      <c r="S72" s="15">
        <f t="shared" ref="S72" si="650">($C71/2)-(S71/2)</f>
        <v>255.685</v>
      </c>
      <c r="T72" s="15">
        <f t="shared" ref="T72" si="651">($C71/2)-(T71/2)</f>
        <v>252.51</v>
      </c>
      <c r="U72" s="15"/>
    </row>
    <row r="73" spans="1:21" hidden="1" x14ac:dyDescent="0.25">
      <c r="A73" s="30"/>
      <c r="B73" s="117">
        <f>B71</f>
        <v>838.19999999999993</v>
      </c>
      <c r="C73" s="14" t="s">
        <v>71</v>
      </c>
      <c r="D73" s="118">
        <f>D71*$B73/D72/D72</f>
        <v>5.2176045047956213E-2</v>
      </c>
      <c r="E73" s="118">
        <f t="shared" ref="E73" si="652">E71*$B73/E72/E72</f>
        <v>5.2176045047956213E-2</v>
      </c>
      <c r="F73" s="118">
        <f t="shared" ref="F73" si="653">F71*$B73/F72/F72</f>
        <v>6.9707743487947074E-2</v>
      </c>
      <c r="G73" s="118">
        <f t="shared" ref="G73" si="654">G71*$B73/G72/G72</f>
        <v>6.0638009265271575E-2</v>
      </c>
      <c r="H73" s="118">
        <f t="shared" ref="H73" si="655">H71*$B73/H72/H72</f>
        <v>0.10583092131974746</v>
      </c>
      <c r="I73" s="118">
        <f t="shared" ref="I73" si="656">I71*$B73/I72/I72</f>
        <v>0.14267535694924563</v>
      </c>
      <c r="J73" s="118">
        <f t="shared" ref="J73" si="657">J71*$B73/J72/J72</f>
        <v>0.10583092131974746</v>
      </c>
      <c r="K73" s="118"/>
      <c r="L73" s="118"/>
      <c r="M73" s="118">
        <f t="shared" ref="M73" si="658">M71*$B73/M72/M72</f>
        <v>0.25868463876161968</v>
      </c>
      <c r="N73" s="118">
        <f t="shared" ref="N73" si="659">N71*$B73/N72/N72</f>
        <v>0.14267535694924563</v>
      </c>
      <c r="O73" s="118">
        <f t="shared" ref="O73" si="660">O71*$B73/O72/O72</f>
        <v>0.34058858626403932</v>
      </c>
      <c r="P73" s="118"/>
      <c r="Q73" s="118">
        <f t="shared" ref="Q73" si="661">Q71*$B73/Q72/Q72</f>
        <v>0.42641024872801364</v>
      </c>
      <c r="R73" s="118">
        <f t="shared" ref="R73" si="662">R71*$B73/R72/R72</f>
        <v>0.51636577757368562</v>
      </c>
      <c r="S73" s="118">
        <f t="shared" ref="S73" si="663">S71*$B73/S72/S72</f>
        <v>0.61068568102032861</v>
      </c>
      <c r="T73" s="118">
        <f t="shared" ref="T73" si="664">T71*$B73/T72/T72</f>
        <v>0.70961595715643189</v>
      </c>
      <c r="U73" s="118"/>
    </row>
    <row r="74" spans="1:21" x14ac:dyDescent="0.25">
      <c r="A74" s="30"/>
      <c r="B74" s="117">
        <f>A71</f>
        <v>22</v>
      </c>
      <c r="C74" s="14" t="s">
        <v>73</v>
      </c>
      <c r="D74" s="119">
        <f>0.9/(D73^0.666666)</f>
        <v>6.445563383557567</v>
      </c>
      <c r="E74" s="119">
        <f t="shared" ref="E74" si="665">0.9/(E73^0.666666)</f>
        <v>6.445563383557567</v>
      </c>
      <c r="F74" s="119">
        <f t="shared" ref="F74" si="666">0.9/(F73^0.666666)</f>
        <v>5.3135860982496252</v>
      </c>
      <c r="G74" s="119">
        <f t="shared" ref="G74" si="667">0.9/(G73^0.666666)</f>
        <v>5.8310272978736277</v>
      </c>
      <c r="H74" s="119">
        <f t="shared" ref="H74" si="668">0.9/(H73^0.666666)</f>
        <v>4.0225378680760606</v>
      </c>
      <c r="I74" s="119">
        <f t="shared" ref="I74" si="669">0.9/(I73^0.666666)</f>
        <v>3.2961677091124728</v>
      </c>
      <c r="J74" s="119">
        <f t="shared" ref="J74" si="670">0.9/(J73^0.666666)</f>
        <v>4.0225378680760606</v>
      </c>
      <c r="K74" s="119"/>
      <c r="L74" s="119"/>
      <c r="M74" s="119">
        <f t="shared" ref="M74" si="671">0.9/(M73^0.666666)</f>
        <v>2.2168094179467936</v>
      </c>
      <c r="N74" s="119">
        <f t="shared" ref="N74" si="672">0.9/(N73^0.666666)</f>
        <v>3.2961677091124728</v>
      </c>
      <c r="O74" s="119">
        <f t="shared" ref="O74" si="673">0.9/(O73^0.666666)</f>
        <v>1.8453927256689471</v>
      </c>
      <c r="P74" s="119"/>
      <c r="Q74" s="119">
        <f t="shared" ref="Q74" si="674">0.9/(Q73^0.666666)</f>
        <v>1.5886339511546368</v>
      </c>
      <c r="R74" s="119">
        <f t="shared" ref="R74" si="675">0.9/(R73^0.666666)</f>
        <v>1.3983117824430142</v>
      </c>
      <c r="S74" s="119">
        <f t="shared" ref="S74" si="676">0.9/(S73^0.666666)</f>
        <v>1.2503469583330888</v>
      </c>
      <c r="T74" s="119">
        <f t="shared" ref="T74" si="677">0.9/(T73^0.666666)</f>
        <v>1.131254087693482</v>
      </c>
      <c r="U74" s="119"/>
    </row>
    <row r="75" spans="1:21" hidden="1" x14ac:dyDescent="0.25">
      <c r="A75" s="30">
        <v>24</v>
      </c>
      <c r="B75" s="117">
        <f>A75*25.4*1.5</f>
        <v>914.39999999999986</v>
      </c>
      <c r="C75" s="23">
        <v>610</v>
      </c>
      <c r="D75" s="24">
        <v>5.54</v>
      </c>
      <c r="E75" s="25">
        <v>5.54</v>
      </c>
      <c r="F75" s="26">
        <v>6.35</v>
      </c>
      <c r="G75" s="26">
        <v>6.35</v>
      </c>
      <c r="H75" s="26">
        <v>9.5299999999999994</v>
      </c>
      <c r="I75" s="26">
        <v>14.27</v>
      </c>
      <c r="J75" s="26">
        <v>9.5299999999999994</v>
      </c>
      <c r="K75" s="26">
        <v>17.48</v>
      </c>
      <c r="L75" s="26">
        <v>9.5299999999999994</v>
      </c>
      <c r="M75" s="26">
        <v>24.61</v>
      </c>
      <c r="N75" s="31">
        <v>12.7</v>
      </c>
      <c r="O75" s="26">
        <v>30.96</v>
      </c>
      <c r="P75" s="26">
        <v>12.7</v>
      </c>
      <c r="Q75" s="26">
        <v>38.89</v>
      </c>
      <c r="R75" s="26">
        <v>46.02</v>
      </c>
      <c r="S75" s="26">
        <v>52.37</v>
      </c>
      <c r="T75" s="26">
        <v>59.54</v>
      </c>
      <c r="U75" s="35"/>
    </row>
    <row r="76" spans="1:21" hidden="1" x14ac:dyDescent="0.25">
      <c r="A76" s="30"/>
      <c r="B76" s="117">
        <f>B75</f>
        <v>914.39999999999986</v>
      </c>
      <c r="C76" s="14" t="s">
        <v>70</v>
      </c>
      <c r="D76" s="15">
        <f>($C75/2)-(D75/2)</f>
        <v>302.23</v>
      </c>
      <c r="E76" s="15">
        <f t="shared" ref="E76" si="678">($C75/2)-(E75/2)</f>
        <v>302.23</v>
      </c>
      <c r="F76" s="15">
        <f t="shared" ref="F76" si="679">($C75/2)-(F75/2)</f>
        <v>301.82499999999999</v>
      </c>
      <c r="G76" s="15">
        <f t="shared" ref="G76" si="680">($C75/2)-(G75/2)</f>
        <v>301.82499999999999</v>
      </c>
      <c r="H76" s="15">
        <f t="shared" ref="H76" si="681">($C75/2)-(H75/2)</f>
        <v>300.23500000000001</v>
      </c>
      <c r="I76" s="15">
        <f t="shared" ref="I76" si="682">($C75/2)-(I75/2)</f>
        <v>297.86500000000001</v>
      </c>
      <c r="J76" s="15">
        <f t="shared" ref="J76" si="683">($C75/2)-(J75/2)</f>
        <v>300.23500000000001</v>
      </c>
      <c r="K76" s="15">
        <f t="shared" ref="K76" si="684">($C75/2)-(K75/2)</f>
        <v>296.26</v>
      </c>
      <c r="L76" s="15">
        <f t="shared" ref="L76" si="685">($C75/2)-(L75/2)</f>
        <v>300.23500000000001</v>
      </c>
      <c r="M76" s="15">
        <f t="shared" ref="M76" si="686">($C75/2)-(M75/2)</f>
        <v>292.69499999999999</v>
      </c>
      <c r="N76" s="15">
        <f t="shared" ref="N76" si="687">($C75/2)-(N75/2)</f>
        <v>298.64999999999998</v>
      </c>
      <c r="O76" s="15">
        <f t="shared" ref="O76" si="688">($C75/2)-(O75/2)</f>
        <v>289.52</v>
      </c>
      <c r="P76" s="15">
        <f t="shared" ref="P76" si="689">($C75/2)-(P75/2)</f>
        <v>298.64999999999998</v>
      </c>
      <c r="Q76" s="15">
        <f t="shared" ref="Q76" si="690">($C75/2)-(Q75/2)</f>
        <v>285.55500000000001</v>
      </c>
      <c r="R76" s="15">
        <f t="shared" ref="R76" si="691">($C75/2)-(R75/2)</f>
        <v>281.99</v>
      </c>
      <c r="S76" s="15">
        <f t="shared" ref="S76" si="692">($C75/2)-(S75/2)</f>
        <v>278.815</v>
      </c>
      <c r="T76" s="15">
        <f t="shared" ref="T76" si="693">($C75/2)-(T75/2)</f>
        <v>275.23</v>
      </c>
      <c r="U76" s="15"/>
    </row>
    <row r="77" spans="1:21" hidden="1" x14ac:dyDescent="0.25">
      <c r="A77" s="30"/>
      <c r="B77" s="117">
        <f>B75</f>
        <v>914.39999999999986</v>
      </c>
      <c r="C77" s="14" t="s">
        <v>71</v>
      </c>
      <c r="D77" s="118">
        <f>D75*$B77/D76/D76</f>
        <v>5.5458847453387389E-2</v>
      </c>
      <c r="E77" s="118">
        <f t="shared" ref="E77" si="694">E75*$B77/E76/E76</f>
        <v>5.5458847453387389E-2</v>
      </c>
      <c r="F77" s="118">
        <f t="shared" ref="F77" si="695">F75*$B77/F76/F76</f>
        <v>6.3738160295184879E-2</v>
      </c>
      <c r="G77" s="118">
        <f t="shared" ref="G77" si="696">G75*$B77/G76/G76</f>
        <v>6.3738160295184879E-2</v>
      </c>
      <c r="H77" s="118">
        <f t="shared" ref="H77" si="697">H75*$B77/H76/H76</f>
        <v>9.6673285865674724E-2</v>
      </c>
      <c r="I77" s="118">
        <f t="shared" ref="I77" si="698">I75*$B77/I76/I76</f>
        <v>0.14706903398654803</v>
      </c>
      <c r="J77" s="118">
        <f t="shared" ref="J77" si="699">J75*$B77/J76/J76</f>
        <v>9.6673285865674724E-2</v>
      </c>
      <c r="K77" s="118">
        <f t="shared" ref="K77" si="700">K75*$B77/K76/K76</f>
        <v>0.18210908349268126</v>
      </c>
      <c r="L77" s="118">
        <f t="shared" ref="L77" si="701">L75*$B77/L76/L76</f>
        <v>9.6673285865674724E-2</v>
      </c>
      <c r="M77" s="118">
        <f t="shared" ref="M77" si="702">M75*$B77/M76/M76</f>
        <v>0.26267408244124218</v>
      </c>
      <c r="N77" s="118">
        <f t="shared" ref="N77" si="703">N75*$B77/N76/N76</f>
        <v>0.13020117399215606</v>
      </c>
      <c r="O77" s="118">
        <f t="shared" ref="O77" si="704">O75*$B77/O76/O76</f>
        <v>0.3377380792677131</v>
      </c>
      <c r="P77" s="118">
        <f t="shared" ref="P77" si="705">P75*$B77/P76/P76</f>
        <v>0.13020117399215606</v>
      </c>
      <c r="Q77" s="118">
        <f t="shared" ref="Q77" si="706">Q75*$B77/Q76/Q76</f>
        <v>0.43610857151196603</v>
      </c>
      <c r="R77" s="118">
        <f t="shared" ref="R77" si="707">R75*$B77/R76/R76</f>
        <v>0.52919461552125224</v>
      </c>
      <c r="S77" s="118">
        <f t="shared" ref="S77" si="708">S75*$B77/S76/S76</f>
        <v>0.61600824048744851</v>
      </c>
      <c r="T77" s="118">
        <f t="shared" ref="T77" si="709">T75*$B77/T76/T76</f>
        <v>0.71870970185747818</v>
      </c>
      <c r="U77" s="118"/>
    </row>
    <row r="78" spans="1:21" x14ac:dyDescent="0.25">
      <c r="A78" s="30"/>
      <c r="B78" s="117">
        <f>A75</f>
        <v>24</v>
      </c>
      <c r="C78" s="14" t="s">
        <v>73</v>
      </c>
      <c r="D78" s="119">
        <f>0.9/(D77^0.666666)</f>
        <v>6.1886289634792444</v>
      </c>
      <c r="E78" s="119">
        <f t="shared" ref="E78" si="710">0.9/(E77^0.666666)</f>
        <v>6.1886289634792444</v>
      </c>
      <c r="F78" s="119">
        <f t="shared" ref="F78" si="711">0.9/(F77^0.666666)</f>
        <v>5.6403843164072436</v>
      </c>
      <c r="G78" s="119">
        <f t="shared" ref="G78" si="712">0.9/(G77^0.666666)</f>
        <v>5.6403843164072436</v>
      </c>
      <c r="H78" s="119">
        <f t="shared" ref="H78" si="713">0.9/(H77^0.666666)</f>
        <v>4.2727175003533331</v>
      </c>
      <c r="I78" s="119">
        <f t="shared" ref="I78" si="714">0.9/(I77^0.666666)</f>
        <v>3.2301879641043283</v>
      </c>
      <c r="J78" s="119">
        <f t="shared" ref="J78" si="715">0.9/(J77^0.666666)</f>
        <v>4.2727175003533331</v>
      </c>
      <c r="K78" s="119">
        <f t="shared" ref="K78" si="716">0.9/(K77^0.666666)</f>
        <v>2.8012655297326376</v>
      </c>
      <c r="L78" s="119">
        <f t="shared" ref="L78" si="717">0.9/(L77^0.666666)</f>
        <v>4.2727175003533331</v>
      </c>
      <c r="M78" s="119">
        <f t="shared" ref="M78" si="718">0.9/(M77^0.666666)</f>
        <v>2.1943065852929835</v>
      </c>
      <c r="N78" s="119">
        <f t="shared" ref="N78" si="719">0.9/(N77^0.666666)</f>
        <v>3.5034720118357252</v>
      </c>
      <c r="O78" s="119">
        <f t="shared" ref="O78" si="720">0.9/(O77^0.666666)</f>
        <v>1.8557615648402077</v>
      </c>
      <c r="P78" s="119">
        <f t="shared" ref="P78" si="721">0.9/(P77^0.666666)</f>
        <v>3.5034720118357252</v>
      </c>
      <c r="Q78" s="119">
        <f t="shared" ref="Q78" si="722">0.9/(Q77^0.666666)</f>
        <v>1.564993437514391</v>
      </c>
      <c r="R78" s="119">
        <f t="shared" ref="R78" si="723">0.9/(R77^0.666666)</f>
        <v>1.3756207371386333</v>
      </c>
      <c r="S78" s="119">
        <f t="shared" ref="S78" si="724">0.9/(S77^0.666666)</f>
        <v>1.243134219217072</v>
      </c>
      <c r="T78" s="119">
        <f t="shared" ref="T78" si="725">0.9/(T77^0.666666)</f>
        <v>1.1216914482929259</v>
      </c>
      <c r="U78" s="119"/>
    </row>
    <row r="79" spans="1:21" hidden="1" x14ac:dyDescent="0.25">
      <c r="A79" s="30">
        <v>26</v>
      </c>
      <c r="B79" s="117">
        <f>A79*25.4*1.5</f>
        <v>990.59999999999991</v>
      </c>
      <c r="C79" s="23">
        <v>660</v>
      </c>
      <c r="D79" s="20"/>
      <c r="E79" s="20"/>
      <c r="F79" s="26">
        <v>7.92</v>
      </c>
      <c r="G79" s="20"/>
      <c r="H79" s="31">
        <v>12.7</v>
      </c>
      <c r="I79" s="20"/>
      <c r="J79" s="26">
        <v>9.5299999999999994</v>
      </c>
      <c r="K79" s="20"/>
      <c r="L79" s="20"/>
      <c r="M79" s="20"/>
      <c r="N79" s="31">
        <v>12.7</v>
      </c>
      <c r="O79" s="20"/>
      <c r="P79" s="20"/>
      <c r="Q79" s="20"/>
      <c r="R79" s="20"/>
      <c r="S79" s="20"/>
      <c r="T79" s="20"/>
      <c r="U79" s="35"/>
    </row>
    <row r="80" spans="1:21" hidden="1" x14ac:dyDescent="0.25">
      <c r="A80" s="30"/>
      <c r="B80" s="117">
        <f>B79</f>
        <v>990.59999999999991</v>
      </c>
      <c r="C80" s="14" t="s">
        <v>70</v>
      </c>
      <c r="D80" s="15"/>
      <c r="E80" s="15"/>
      <c r="F80" s="15">
        <f t="shared" ref="F80" si="726">($C79/2)-(F79/2)</f>
        <v>326.04000000000002</v>
      </c>
      <c r="G80" s="15"/>
      <c r="H80" s="15">
        <f t="shared" ref="H80" si="727">($C79/2)-(H79/2)</f>
        <v>323.64999999999998</v>
      </c>
      <c r="I80" s="15"/>
      <c r="J80" s="15">
        <f t="shared" ref="J80" si="728">($C79/2)-(J79/2)</f>
        <v>325.23500000000001</v>
      </c>
      <c r="K80" s="15"/>
      <c r="L80" s="15"/>
      <c r="M80" s="15"/>
      <c r="N80" s="15">
        <f t="shared" ref="N80" si="729">($C79/2)-(N79/2)</f>
        <v>323.64999999999998</v>
      </c>
      <c r="O80" s="15"/>
      <c r="P80" s="15"/>
      <c r="Q80" s="15"/>
      <c r="R80" s="15"/>
      <c r="S80" s="15"/>
      <c r="T80" s="15"/>
      <c r="U80" s="15"/>
    </row>
    <row r="81" spans="1:21" hidden="1" x14ac:dyDescent="0.25">
      <c r="A81" s="30"/>
      <c r="B81" s="117">
        <f>B79</f>
        <v>990.59999999999991</v>
      </c>
      <c r="C81" s="14" t="s">
        <v>71</v>
      </c>
      <c r="D81" s="118"/>
      <c r="E81" s="118"/>
      <c r="F81" s="118">
        <f t="shared" ref="F81" si="730">F79*$B81/F80/F80</f>
        <v>7.3804312031458819E-2</v>
      </c>
      <c r="G81" s="118"/>
      <c r="H81" s="118">
        <f t="shared" ref="H81" si="731">H79*$B81/H80/H80</f>
        <v>0.12010216104261677</v>
      </c>
      <c r="I81" s="118"/>
      <c r="J81" s="118">
        <f t="shared" ref="J81" si="732">J79*$B81/J80/J80</f>
        <v>8.9247626001686092E-2</v>
      </c>
      <c r="K81" s="118"/>
      <c r="L81" s="118"/>
      <c r="M81" s="118"/>
      <c r="N81" s="118">
        <f t="shared" ref="N81" si="733">N79*$B81/N80/N80</f>
        <v>0.12010216104261677</v>
      </c>
      <c r="O81" s="118"/>
      <c r="P81" s="118"/>
      <c r="Q81" s="118"/>
      <c r="R81" s="118"/>
      <c r="S81" s="118"/>
      <c r="T81" s="118"/>
      <c r="U81" s="118"/>
    </row>
    <row r="82" spans="1:21" x14ac:dyDescent="0.25">
      <c r="A82" s="30"/>
      <c r="B82" s="117">
        <f>A79</f>
        <v>26</v>
      </c>
      <c r="C82" s="14" t="s">
        <v>73</v>
      </c>
      <c r="D82" s="119"/>
      <c r="E82" s="119"/>
      <c r="F82" s="119">
        <f t="shared" ref="F82" si="734">0.9/(F81^0.666666)</f>
        <v>5.1150976685899847</v>
      </c>
      <c r="G82" s="119"/>
      <c r="H82" s="119">
        <f t="shared" ref="H82" si="735">0.9/(H81^0.666666)</f>
        <v>3.6972147860007931</v>
      </c>
      <c r="I82" s="119"/>
      <c r="J82" s="119">
        <f t="shared" ref="J82" si="736">0.9/(J81^0.666666)</f>
        <v>4.5065482791392517</v>
      </c>
      <c r="K82" s="119"/>
      <c r="L82" s="119"/>
      <c r="M82" s="119"/>
      <c r="N82" s="119">
        <f t="shared" ref="N82" si="737">0.9/(N81^0.666666)</f>
        <v>3.6972147860007931</v>
      </c>
      <c r="O82" s="119"/>
      <c r="P82" s="119"/>
      <c r="Q82" s="119"/>
      <c r="R82" s="119"/>
      <c r="S82" s="119"/>
      <c r="T82" s="119"/>
      <c r="U82" s="119"/>
    </row>
    <row r="83" spans="1:21" ht="18" hidden="1" customHeight="1" x14ac:dyDescent="0.25">
      <c r="A83" s="30">
        <v>28</v>
      </c>
      <c r="B83" s="117">
        <f>A83*25.4*1.5</f>
        <v>1066.8</v>
      </c>
      <c r="C83" s="23">
        <v>711</v>
      </c>
      <c r="D83" s="20"/>
      <c r="E83" s="20"/>
      <c r="F83" s="26">
        <v>7.92</v>
      </c>
      <c r="G83" s="20"/>
      <c r="H83" s="31">
        <v>12.7</v>
      </c>
      <c r="I83" s="26">
        <v>15.88</v>
      </c>
      <c r="J83" s="26">
        <v>9.5299999999999994</v>
      </c>
      <c r="K83" s="20"/>
      <c r="L83" s="20"/>
      <c r="M83" s="20"/>
      <c r="N83" s="31">
        <v>12.7</v>
      </c>
      <c r="O83" s="20"/>
      <c r="P83" s="20"/>
      <c r="Q83" s="20"/>
      <c r="R83" s="20"/>
      <c r="S83" s="20"/>
      <c r="T83" s="20"/>
      <c r="U83" s="35"/>
    </row>
    <row r="84" spans="1:21" ht="18" hidden="1" customHeight="1" x14ac:dyDescent="0.25">
      <c r="A84" s="30"/>
      <c r="B84" s="117">
        <f>B83</f>
        <v>1066.8</v>
      </c>
      <c r="C84" s="14" t="s">
        <v>70</v>
      </c>
      <c r="D84" s="15"/>
      <c r="E84" s="15"/>
      <c r="F84" s="15">
        <f t="shared" ref="F84" si="738">($C83/2)-(F83/2)</f>
        <v>351.54</v>
      </c>
      <c r="G84" s="15"/>
      <c r="H84" s="15">
        <f t="shared" ref="H84" si="739">($C83/2)-(H83/2)</f>
        <v>349.15</v>
      </c>
      <c r="I84" s="15">
        <f t="shared" ref="I84" si="740">($C83/2)-(I83/2)</f>
        <v>347.56</v>
      </c>
      <c r="J84" s="15">
        <f t="shared" ref="J84" si="741">($C83/2)-(J83/2)</f>
        <v>350.73500000000001</v>
      </c>
      <c r="K84" s="15"/>
      <c r="L84" s="15"/>
      <c r="M84" s="15"/>
      <c r="N84" s="15">
        <f t="shared" ref="N84" si="742">($C83/2)-(N83/2)</f>
        <v>349.15</v>
      </c>
      <c r="O84" s="15"/>
      <c r="P84" s="15"/>
      <c r="Q84" s="15"/>
      <c r="R84" s="15"/>
      <c r="S84" s="15"/>
      <c r="T84" s="15"/>
      <c r="U84" s="15"/>
    </row>
    <row r="85" spans="1:21" ht="18" hidden="1" customHeight="1" x14ac:dyDescent="0.25">
      <c r="A85" s="30"/>
      <c r="B85" s="117">
        <f>B83</f>
        <v>1066.8</v>
      </c>
      <c r="C85" s="14" t="s">
        <v>71</v>
      </c>
      <c r="D85" s="118"/>
      <c r="E85" s="118"/>
      <c r="F85" s="118">
        <f t="shared" ref="F85" si="743">F83*$B85/F84/F84</f>
        <v>6.8368915634495445E-2</v>
      </c>
      <c r="G85" s="118"/>
      <c r="H85" s="118">
        <f t="shared" ref="H85" si="744">H83*$B85/H84/H84</f>
        <v>0.11113801487046682</v>
      </c>
      <c r="I85" s="118">
        <f t="shared" ref="I85" si="745">I83*$B85/I84/I84</f>
        <v>0.14024065387809684</v>
      </c>
      <c r="J85" s="118">
        <f t="shared" ref="J85" si="746">J83*$B85/J84/J84</f>
        <v>8.2645211361186618E-2</v>
      </c>
      <c r="K85" s="118"/>
      <c r="L85" s="118"/>
      <c r="M85" s="118"/>
      <c r="N85" s="118">
        <f t="shared" ref="N85" si="747">N83*$B85/N84/N84</f>
        <v>0.11113801487046682</v>
      </c>
      <c r="O85" s="118"/>
      <c r="P85" s="118"/>
      <c r="Q85" s="118"/>
      <c r="R85" s="118"/>
      <c r="S85" s="118"/>
      <c r="T85" s="118"/>
      <c r="U85" s="118"/>
    </row>
    <row r="86" spans="1:21" ht="18" customHeight="1" x14ac:dyDescent="0.25">
      <c r="A86" s="30"/>
      <c r="B86" s="117">
        <f>A83</f>
        <v>28</v>
      </c>
      <c r="C86" s="14" t="s">
        <v>73</v>
      </c>
      <c r="D86" s="119"/>
      <c r="E86" s="119"/>
      <c r="F86" s="119">
        <f t="shared" ref="F86" si="748">0.9/(F85^0.666666)</f>
        <v>5.382730109402301</v>
      </c>
      <c r="G86" s="119"/>
      <c r="H86" s="119">
        <f t="shared" ref="H86" si="749">0.9/(H85^0.666666)</f>
        <v>3.8934396727357479</v>
      </c>
      <c r="I86" s="119">
        <f t="shared" ref="I86" si="750">0.9/(I85^0.666666)</f>
        <v>3.334207740099453</v>
      </c>
      <c r="J86" s="119">
        <f t="shared" ref="J86" si="751">0.9/(J85^0.666666)</f>
        <v>4.7434754562328791</v>
      </c>
      <c r="K86" s="119"/>
      <c r="L86" s="119"/>
      <c r="M86" s="119"/>
      <c r="N86" s="119">
        <f t="shared" ref="N86" si="752">0.9/(N85^0.666666)</f>
        <v>3.8934396727357479</v>
      </c>
      <c r="O86" s="119"/>
      <c r="P86" s="119"/>
      <c r="Q86" s="119"/>
      <c r="R86" s="119"/>
      <c r="S86" s="119"/>
      <c r="T86" s="119"/>
      <c r="U86" s="119"/>
    </row>
    <row r="87" spans="1:21" hidden="1" x14ac:dyDescent="0.25">
      <c r="A87" s="30">
        <v>30</v>
      </c>
      <c r="B87" s="117">
        <f>A87*25.4*1.5</f>
        <v>1143</v>
      </c>
      <c r="C87" s="23">
        <v>762</v>
      </c>
      <c r="D87" s="24">
        <v>6.35</v>
      </c>
      <c r="E87" s="25">
        <v>6.35</v>
      </c>
      <c r="F87" s="26">
        <v>7.92</v>
      </c>
      <c r="G87" s="26">
        <v>7.92</v>
      </c>
      <c r="H87" s="31">
        <v>12.7</v>
      </c>
      <c r="I87" s="26">
        <v>15.88</v>
      </c>
      <c r="J87" s="26">
        <v>9.5299999999999994</v>
      </c>
      <c r="K87" s="20"/>
      <c r="L87" s="20"/>
      <c r="M87" s="20"/>
      <c r="N87" s="31">
        <v>12.7</v>
      </c>
      <c r="O87" s="20"/>
      <c r="P87" s="20"/>
      <c r="Q87" s="20"/>
      <c r="R87" s="20"/>
      <c r="S87" s="20"/>
      <c r="T87" s="20"/>
      <c r="U87" s="35"/>
    </row>
    <row r="88" spans="1:21" hidden="1" x14ac:dyDescent="0.25">
      <c r="A88" s="30"/>
      <c r="B88" s="117">
        <f>B87</f>
        <v>1143</v>
      </c>
      <c r="C88" s="14" t="s">
        <v>70</v>
      </c>
      <c r="D88" s="15">
        <f>($C87/2)-(D87/2)</f>
        <v>377.82499999999999</v>
      </c>
      <c r="E88" s="15">
        <f t="shared" ref="E88" si="753">($C87/2)-(E87/2)</f>
        <v>377.82499999999999</v>
      </c>
      <c r="F88" s="15">
        <f t="shared" ref="F88" si="754">($C87/2)-(F87/2)</f>
        <v>377.04</v>
      </c>
      <c r="G88" s="15">
        <f t="shared" ref="G88" si="755">($C87/2)-(G87/2)</f>
        <v>377.04</v>
      </c>
      <c r="H88" s="15">
        <f t="shared" ref="H88" si="756">($C87/2)-(H87/2)</f>
        <v>374.65</v>
      </c>
      <c r="I88" s="15">
        <f t="shared" ref="I88" si="757">($C87/2)-(I87/2)</f>
        <v>373.06</v>
      </c>
      <c r="J88" s="15">
        <f t="shared" ref="J88" si="758">($C87/2)-(J87/2)</f>
        <v>376.23500000000001</v>
      </c>
      <c r="K88" s="15"/>
      <c r="L88" s="15"/>
      <c r="M88" s="15"/>
      <c r="N88" s="15">
        <f t="shared" ref="N88" si="759">($C87/2)-(N87/2)</f>
        <v>374.65</v>
      </c>
      <c r="O88" s="15"/>
      <c r="P88" s="15"/>
      <c r="Q88" s="15"/>
      <c r="R88" s="15"/>
      <c r="S88" s="15"/>
      <c r="T88" s="15"/>
      <c r="U88" s="15"/>
    </row>
    <row r="89" spans="1:21" hidden="1" x14ac:dyDescent="0.25">
      <c r="A89" s="30"/>
      <c r="B89" s="117">
        <f>B87</f>
        <v>1143</v>
      </c>
      <c r="C89" s="14" t="s">
        <v>71</v>
      </c>
      <c r="D89" s="118">
        <f>D87*$B89/D88/D88</f>
        <v>5.0843866958548124E-2</v>
      </c>
      <c r="E89" s="118">
        <f t="shared" ref="E89" si="760">E87*$B89/E88/E88</f>
        <v>5.0843866958548124E-2</v>
      </c>
      <c r="F89" s="118">
        <f t="shared" ref="F89" si="761">F87*$B89/F88/F88</f>
        <v>6.3679047471253511E-2</v>
      </c>
      <c r="G89" s="118">
        <f t="shared" ref="G89" si="762">G87*$B89/G88/G88</f>
        <v>6.3679047471253511E-2</v>
      </c>
      <c r="H89" s="118">
        <f t="shared" ref="H89" si="763">H87*$B89/H88/H88</f>
        <v>0.10341855788566505</v>
      </c>
      <c r="I89" s="118">
        <f t="shared" ref="I89" si="764">I87*$B89/I88/I88</f>
        <v>0.13041854678994971</v>
      </c>
      <c r="J89" s="118">
        <f t="shared" ref="J89" si="765">J87*$B89/J88/J88</f>
        <v>7.6952147230499479E-2</v>
      </c>
      <c r="K89" s="118"/>
      <c r="L89" s="118"/>
      <c r="M89" s="118"/>
      <c r="N89" s="118">
        <f t="shared" ref="N89" si="766">N87*$B89/N88/N88</f>
        <v>0.10341855788566505</v>
      </c>
      <c r="O89" s="118"/>
      <c r="P89" s="118"/>
      <c r="Q89" s="118"/>
      <c r="R89" s="118"/>
      <c r="S89" s="118"/>
      <c r="T89" s="118"/>
      <c r="U89" s="118"/>
    </row>
    <row r="90" spans="1:21" x14ac:dyDescent="0.25">
      <c r="A90" s="30"/>
      <c r="B90" s="117">
        <f>A87</f>
        <v>30</v>
      </c>
      <c r="C90" s="14" t="s">
        <v>73</v>
      </c>
      <c r="D90" s="119">
        <f>0.9/(D89^0.666666)</f>
        <v>6.5576655684386509</v>
      </c>
      <c r="E90" s="119">
        <f t="shared" ref="E90" si="767">0.9/(E89^0.666666)</f>
        <v>6.5576655684386509</v>
      </c>
      <c r="F90" s="119">
        <f t="shared" ref="F90" si="768">0.9/(F89^0.666666)</f>
        <v>5.643874393190079</v>
      </c>
      <c r="G90" s="119">
        <f t="shared" ref="G90" si="769">0.9/(G89^0.666666)</f>
        <v>5.643874393190079</v>
      </c>
      <c r="H90" s="119">
        <f t="shared" ref="H90" si="770">0.9/(H89^0.666666)</f>
        <v>4.0848508224339204</v>
      </c>
      <c r="I90" s="119">
        <f t="shared" ref="I90" si="771">0.9/(I89^0.666666)</f>
        <v>3.4995780336651645</v>
      </c>
      <c r="J90" s="119">
        <f t="shared" ref="J90" si="772">0.9/(J89^0.666666)</f>
        <v>4.9746355809410154</v>
      </c>
      <c r="K90" s="119"/>
      <c r="L90" s="119"/>
      <c r="M90" s="119"/>
      <c r="N90" s="119">
        <f t="shared" ref="N90" si="773">0.9/(N89^0.666666)</f>
        <v>4.0848508224339204</v>
      </c>
      <c r="O90" s="119"/>
      <c r="P90" s="119"/>
      <c r="Q90" s="119"/>
      <c r="R90" s="119"/>
      <c r="S90" s="119"/>
      <c r="T90" s="119"/>
      <c r="U90" s="119"/>
    </row>
    <row r="91" spans="1:21" hidden="1" x14ac:dyDescent="0.25">
      <c r="A91" s="30">
        <v>32</v>
      </c>
      <c r="B91" s="117">
        <f>A91*25.4*1.5</f>
        <v>1219.1999999999998</v>
      </c>
      <c r="C91" s="23">
        <v>813</v>
      </c>
      <c r="D91" s="20"/>
      <c r="E91" s="20"/>
      <c r="F91" s="26">
        <v>7.92</v>
      </c>
      <c r="G91" s="20"/>
      <c r="H91" s="31">
        <v>12.7</v>
      </c>
      <c r="I91" s="26">
        <v>15.88</v>
      </c>
      <c r="J91" s="26">
        <v>9.5299999999999994</v>
      </c>
      <c r="K91" s="26">
        <v>17.48</v>
      </c>
      <c r="L91" s="20"/>
      <c r="M91" s="20"/>
      <c r="N91" s="31">
        <v>12.7</v>
      </c>
      <c r="O91" s="20"/>
      <c r="P91" s="20"/>
      <c r="Q91" s="20"/>
      <c r="R91" s="20"/>
      <c r="S91" s="20"/>
      <c r="T91" s="20"/>
      <c r="U91" s="35"/>
    </row>
    <row r="92" spans="1:21" hidden="1" x14ac:dyDescent="0.25">
      <c r="A92" s="30"/>
      <c r="B92" s="117">
        <f>B91</f>
        <v>1219.1999999999998</v>
      </c>
      <c r="C92" s="14" t="s">
        <v>70</v>
      </c>
      <c r="D92" s="15"/>
      <c r="E92" s="15"/>
      <c r="F92" s="15">
        <f t="shared" ref="F92" si="774">($C91/2)-(F91/2)</f>
        <v>402.54</v>
      </c>
      <c r="G92" s="15"/>
      <c r="H92" s="15">
        <f t="shared" ref="H92" si="775">($C91/2)-(H91/2)</f>
        <v>400.15</v>
      </c>
      <c r="I92" s="15">
        <f t="shared" ref="I92" si="776">($C91/2)-(I91/2)</f>
        <v>398.56</v>
      </c>
      <c r="J92" s="15">
        <f t="shared" ref="J92" si="777">($C91/2)-(J91/2)</f>
        <v>401.73500000000001</v>
      </c>
      <c r="K92" s="15">
        <f t="shared" ref="K92" si="778">($C91/2)-(K91/2)</f>
        <v>397.76</v>
      </c>
      <c r="L92" s="15"/>
      <c r="M92" s="15"/>
      <c r="N92" s="15">
        <f t="shared" ref="N92" si="779">($C91/2)-(N91/2)</f>
        <v>400.15</v>
      </c>
      <c r="O92" s="15"/>
      <c r="P92" s="15"/>
      <c r="Q92" s="15"/>
      <c r="R92" s="15"/>
      <c r="S92" s="15"/>
      <c r="T92" s="15"/>
      <c r="U92" s="15"/>
    </row>
    <row r="93" spans="1:21" hidden="1" x14ac:dyDescent="0.25">
      <c r="A93" s="30"/>
      <c r="B93" s="117">
        <f>B91</f>
        <v>1219.1999999999998</v>
      </c>
      <c r="C93" s="14" t="s">
        <v>71</v>
      </c>
      <c r="D93" s="118"/>
      <c r="E93" s="118"/>
      <c r="F93" s="118">
        <f t="shared" ref="F93" si="780">F91*$B93/F92/F92</f>
        <v>5.9591189033554044E-2</v>
      </c>
      <c r="G93" s="118"/>
      <c r="H93" s="118">
        <f t="shared" ref="H93" si="781">H91*$B93/H92/H92</f>
        <v>9.6701460306127543E-2</v>
      </c>
      <c r="I93" s="118">
        <f t="shared" ref="I93" si="782">I91*$B93/I92/I92</f>
        <v>0.12188156770233941</v>
      </c>
      <c r="J93" s="118">
        <f t="shared" ref="J93" si="783">J91*$B93/J92/J92</f>
        <v>7.199270878719724E-2</v>
      </c>
      <c r="K93" s="118">
        <f t="shared" ref="K93" si="784">K91*$B93/K92/K92</f>
        <v>0.13470203857612281</v>
      </c>
      <c r="L93" s="118"/>
      <c r="M93" s="118"/>
      <c r="N93" s="118">
        <f t="shared" ref="N93" si="785">N91*$B93/N92/N92</f>
        <v>9.6701460306127543E-2</v>
      </c>
      <c r="O93" s="118"/>
      <c r="P93" s="118"/>
      <c r="Q93" s="118"/>
      <c r="R93" s="118"/>
      <c r="S93" s="118"/>
      <c r="T93" s="118"/>
      <c r="U93" s="118"/>
    </row>
    <row r="94" spans="1:21" x14ac:dyDescent="0.25">
      <c r="A94" s="30"/>
      <c r="B94" s="117">
        <f>A91</f>
        <v>32</v>
      </c>
      <c r="C94" s="14" t="s">
        <v>73</v>
      </c>
      <c r="D94" s="119"/>
      <c r="E94" s="119"/>
      <c r="F94" s="119">
        <f t="shared" ref="F94" si="786">0.9/(F93^0.666666)</f>
        <v>5.8991167603822028</v>
      </c>
      <c r="G94" s="119"/>
      <c r="H94" s="119">
        <f t="shared" ref="H94" si="787">0.9/(H93^0.666666)</f>
        <v>4.2718875428711005</v>
      </c>
      <c r="I94" s="119">
        <f t="shared" ref="I94" si="788">0.9/(I93^0.666666)</f>
        <v>3.6611417636865071</v>
      </c>
      <c r="J94" s="119">
        <f t="shared" ref="J94" si="789">0.9/(J93^0.666666)</f>
        <v>5.2005515373651701</v>
      </c>
      <c r="K94" s="119">
        <f t="shared" ref="K94" si="790">0.9/(K93^0.666666)</f>
        <v>3.4249887562842352</v>
      </c>
      <c r="L94" s="119"/>
      <c r="M94" s="119"/>
      <c r="N94" s="119">
        <f t="shared" ref="N94" si="791">0.9/(N93^0.666666)</f>
        <v>4.2718875428711005</v>
      </c>
      <c r="O94" s="119"/>
      <c r="P94" s="119"/>
      <c r="Q94" s="119"/>
      <c r="R94" s="119"/>
      <c r="S94" s="119"/>
      <c r="T94" s="119"/>
      <c r="U94" s="119"/>
    </row>
    <row r="95" spans="1:21" hidden="1" x14ac:dyDescent="0.25">
      <c r="A95" s="30">
        <v>34</v>
      </c>
      <c r="B95" s="117">
        <f>A95*25.4*1.5</f>
        <v>1295.3999999999999</v>
      </c>
      <c r="C95" s="23">
        <v>864</v>
      </c>
      <c r="D95" s="20"/>
      <c r="E95" s="20"/>
      <c r="F95" s="26">
        <v>7.92</v>
      </c>
      <c r="G95" s="20"/>
      <c r="H95" s="31">
        <v>12.7</v>
      </c>
      <c r="I95" s="26">
        <v>15.88</v>
      </c>
      <c r="J95" s="26">
        <v>9.5299999999999994</v>
      </c>
      <c r="K95" s="26">
        <v>17.48</v>
      </c>
      <c r="L95" s="20"/>
      <c r="M95" s="20"/>
      <c r="N95" s="31">
        <v>12.7</v>
      </c>
      <c r="O95" s="20"/>
      <c r="P95" s="20"/>
      <c r="Q95" s="20"/>
      <c r="R95" s="20"/>
      <c r="S95" s="20"/>
      <c r="T95" s="20"/>
      <c r="U95" s="35"/>
    </row>
    <row r="96" spans="1:21" hidden="1" x14ac:dyDescent="0.25">
      <c r="A96" s="30"/>
      <c r="B96" s="117">
        <f>B95</f>
        <v>1295.3999999999999</v>
      </c>
      <c r="C96" s="14" t="s">
        <v>70</v>
      </c>
      <c r="D96" s="15"/>
      <c r="E96" s="15"/>
      <c r="F96" s="15">
        <f t="shared" ref="F96" si="792">($C95/2)-(F95/2)</f>
        <v>428.04</v>
      </c>
      <c r="G96" s="15"/>
      <c r="H96" s="15">
        <f t="shared" ref="H96" si="793">($C95/2)-(H95/2)</f>
        <v>425.65</v>
      </c>
      <c r="I96" s="15">
        <f t="shared" ref="I96" si="794">($C95/2)-(I95/2)</f>
        <v>424.06</v>
      </c>
      <c r="J96" s="15">
        <f t="shared" ref="J96" si="795">($C95/2)-(J95/2)</f>
        <v>427.23500000000001</v>
      </c>
      <c r="K96" s="15">
        <f t="shared" ref="K96" si="796">($C95/2)-(K95/2)</f>
        <v>423.26</v>
      </c>
      <c r="L96" s="15"/>
      <c r="M96" s="15"/>
      <c r="N96" s="15">
        <f t="shared" ref="N96" si="797">($C95/2)-(N95/2)</f>
        <v>425.65</v>
      </c>
      <c r="O96" s="15"/>
      <c r="P96" s="15"/>
      <c r="Q96" s="15"/>
      <c r="R96" s="15"/>
      <c r="S96" s="15"/>
      <c r="T96" s="15"/>
      <c r="U96" s="15"/>
    </row>
    <row r="97" spans="1:21" hidden="1" x14ac:dyDescent="0.25">
      <c r="A97" s="30"/>
      <c r="B97" s="117">
        <f>B95</f>
        <v>1295.3999999999999</v>
      </c>
      <c r="C97" s="14" t="s">
        <v>71</v>
      </c>
      <c r="D97" s="118"/>
      <c r="E97" s="118"/>
      <c r="F97" s="118">
        <f t="shared" ref="F97" si="798">F95*$B97/F96/F96</f>
        <v>5.599643305385809E-2</v>
      </c>
      <c r="G97" s="118"/>
      <c r="H97" s="118">
        <f t="shared" ref="H97" si="799">H95*$B97/H96/H96</f>
        <v>9.0803447644124513E-2</v>
      </c>
      <c r="I97" s="118">
        <f t="shared" ref="I97" si="800">I95*$B97/I96/I96</f>
        <v>0.11439308510599133</v>
      </c>
      <c r="J97" s="118">
        <f t="shared" ref="J97" si="801">J95*$B97/J96/J96</f>
        <v>6.7633699837702704E-2</v>
      </c>
      <c r="K97" s="118">
        <f t="shared" ref="K97" si="802">K95*$B97/K96/K96</f>
        <v>0.12639528276178039</v>
      </c>
      <c r="L97" s="118"/>
      <c r="M97" s="118"/>
      <c r="N97" s="118">
        <f t="shared" ref="N97" si="803">N95*$B97/N96/N96</f>
        <v>9.0803447644124513E-2</v>
      </c>
      <c r="O97" s="118"/>
      <c r="P97" s="118"/>
      <c r="Q97" s="118"/>
      <c r="R97" s="118"/>
      <c r="S97" s="118"/>
      <c r="T97" s="118"/>
      <c r="U97" s="118"/>
    </row>
    <row r="98" spans="1:21" x14ac:dyDescent="0.25">
      <c r="A98" s="30"/>
      <c r="B98" s="117">
        <f>A95</f>
        <v>34</v>
      </c>
      <c r="C98" s="14" t="s">
        <v>73</v>
      </c>
      <c r="D98" s="119"/>
      <c r="E98" s="119"/>
      <c r="F98" s="119">
        <f t="shared" ref="F98" si="804">0.9/(F97^0.666666)</f>
        <v>6.1489566674586422</v>
      </c>
      <c r="G98" s="119"/>
      <c r="H98" s="119">
        <f t="shared" ref="H98" si="805">0.9/(H97^0.666666)</f>
        <v>4.4549235543938988</v>
      </c>
      <c r="I98" s="119">
        <f t="shared" ref="I98" si="806">0.9/(I97^0.666666)</f>
        <v>3.8192260730951526</v>
      </c>
      <c r="J98" s="119">
        <f t="shared" ref="J98" si="807">0.9/(J97^0.666666)</f>
        <v>5.4216685744485922</v>
      </c>
      <c r="K98" s="119">
        <f t="shared" ref="K98" si="808">0.9/(K97^0.666666)</f>
        <v>3.5734523882984721</v>
      </c>
      <c r="L98" s="119"/>
      <c r="M98" s="119"/>
      <c r="N98" s="119">
        <f t="shared" ref="N98" si="809">0.9/(N97^0.666666)</f>
        <v>4.4549235543938988</v>
      </c>
      <c r="O98" s="119"/>
      <c r="P98" s="119"/>
      <c r="Q98" s="119"/>
      <c r="R98" s="119"/>
      <c r="S98" s="119"/>
      <c r="T98" s="119"/>
      <c r="U98" s="119"/>
    </row>
    <row r="99" spans="1:21" hidden="1" x14ac:dyDescent="0.25">
      <c r="A99" s="30">
        <v>36</v>
      </c>
      <c r="B99" s="117">
        <f>A99*25.4*1.5</f>
        <v>1371.6</v>
      </c>
      <c r="C99" s="23">
        <v>914</v>
      </c>
      <c r="D99" s="20"/>
      <c r="E99" s="20"/>
      <c r="F99" s="26">
        <v>7.92</v>
      </c>
      <c r="G99" s="20"/>
      <c r="H99" s="31">
        <v>12.7</v>
      </c>
      <c r="I99" s="26">
        <v>15.88</v>
      </c>
      <c r="J99" s="26">
        <v>9.5299999999999994</v>
      </c>
      <c r="K99" s="26">
        <v>19.05</v>
      </c>
      <c r="L99" s="20"/>
      <c r="M99" s="20"/>
      <c r="N99" s="31">
        <v>12.7</v>
      </c>
      <c r="O99" s="20"/>
      <c r="P99" s="20"/>
      <c r="Q99" s="20"/>
      <c r="R99" s="20"/>
      <c r="S99" s="20"/>
      <c r="T99" s="20"/>
      <c r="U99" s="35"/>
    </row>
    <row r="100" spans="1:21" hidden="1" x14ac:dyDescent="0.25">
      <c r="A100" s="36"/>
      <c r="B100" s="117">
        <f>B99</f>
        <v>1371.6</v>
      </c>
      <c r="C100" s="14" t="s">
        <v>70</v>
      </c>
      <c r="D100" s="15"/>
      <c r="E100" s="15"/>
      <c r="F100" s="15">
        <f t="shared" ref="F100" si="810">($C99/2)-(F99/2)</f>
        <v>453.04</v>
      </c>
      <c r="G100" s="15"/>
      <c r="H100" s="15">
        <f t="shared" ref="H100" si="811">($C99/2)-(H99/2)</f>
        <v>450.65</v>
      </c>
      <c r="I100" s="15">
        <f t="shared" ref="I100" si="812">($C99/2)-(I99/2)</f>
        <v>449.06</v>
      </c>
      <c r="J100" s="15">
        <f t="shared" ref="J100" si="813">($C99/2)-(J99/2)</f>
        <v>452.23500000000001</v>
      </c>
      <c r="K100" s="15">
        <f t="shared" ref="K100" si="814">($C99/2)-(K99/2)</f>
        <v>447.47500000000002</v>
      </c>
      <c r="L100" s="15"/>
      <c r="M100" s="15"/>
      <c r="N100" s="15">
        <f t="shared" ref="N100" si="815">($C99/2)-(N99/2)</f>
        <v>450.65</v>
      </c>
      <c r="O100" s="15"/>
      <c r="P100" s="15"/>
      <c r="Q100" s="15"/>
      <c r="R100" s="15"/>
      <c r="S100" s="15"/>
      <c r="T100" s="15"/>
      <c r="U100" s="15"/>
    </row>
    <row r="101" spans="1:21" hidden="1" x14ac:dyDescent="0.25">
      <c r="A101" s="36"/>
      <c r="B101" s="117">
        <f>B99</f>
        <v>1371.6</v>
      </c>
      <c r="C101" s="14" t="s">
        <v>71</v>
      </c>
      <c r="D101" s="118"/>
      <c r="E101" s="118"/>
      <c r="F101" s="118">
        <f t="shared" ref="F101" si="816">F99*$B101/F100/F100</f>
        <v>5.2927278193230461E-2</v>
      </c>
      <c r="G101" s="118"/>
      <c r="H101" s="118">
        <f t="shared" ref="H101" si="817">H99*$B101/H100/H100</f>
        <v>8.5773364653979528E-2</v>
      </c>
      <c r="I101" s="118">
        <f t="shared" ref="I101" si="818">I99*$B101/I100/I100</f>
        <v>0.10801130927830403</v>
      </c>
      <c r="J101" s="118">
        <f t="shared" ref="J101" si="819">J99*$B101/J100/J100</f>
        <v>6.3913416791244529E-2</v>
      </c>
      <c r="K101" s="118">
        <f t="shared" ref="K101" si="820">K99*$B101/K100/K100</f>
        <v>0.13049230515287338</v>
      </c>
      <c r="L101" s="118"/>
      <c r="M101" s="118"/>
      <c r="N101" s="118">
        <f t="shared" ref="N101" si="821">N99*$B101/N100/N100</f>
        <v>8.5773364653979528E-2</v>
      </c>
      <c r="O101" s="118"/>
      <c r="P101" s="118"/>
      <c r="Q101" s="118"/>
      <c r="R101" s="118"/>
      <c r="S101" s="118"/>
      <c r="T101" s="118"/>
      <c r="U101" s="118"/>
    </row>
    <row r="102" spans="1:21" x14ac:dyDescent="0.25">
      <c r="A102" s="36"/>
      <c r="B102" s="117">
        <f>A99</f>
        <v>36</v>
      </c>
      <c r="C102" s="14" t="s">
        <v>73</v>
      </c>
      <c r="D102" s="119"/>
      <c r="E102" s="119"/>
      <c r="F102" s="119">
        <f t="shared" ref="F102" si="822">0.9/(F101^0.666666)</f>
        <v>6.3844273790620107</v>
      </c>
      <c r="G102" s="119"/>
      <c r="H102" s="119">
        <f t="shared" ref="H102" si="823">0.9/(H101^0.666666)</f>
        <v>4.6274332972886985</v>
      </c>
      <c r="I102" s="119">
        <f t="shared" ref="I102" si="824">0.9/(I101^0.666666)</f>
        <v>3.9682197239260715</v>
      </c>
      <c r="J102" s="119">
        <f t="shared" ref="J102" si="825">0.9/(J101^0.666666)</f>
        <v>5.6300686386159713</v>
      </c>
      <c r="K102" s="119">
        <f t="shared" ref="K102" si="826">0.9/(K101^0.666666)</f>
        <v>3.4982591962008804</v>
      </c>
      <c r="L102" s="119"/>
      <c r="M102" s="119"/>
      <c r="N102" s="119">
        <f t="shared" ref="N102" si="827">0.9/(N101^0.666666)</f>
        <v>4.6274332972886985</v>
      </c>
      <c r="O102" s="119"/>
      <c r="P102" s="119"/>
      <c r="Q102" s="119"/>
      <c r="R102" s="119"/>
      <c r="S102" s="119"/>
      <c r="T102" s="119"/>
      <c r="U102" s="119"/>
    </row>
    <row r="103" spans="1:21" hidden="1" x14ac:dyDescent="0.25">
      <c r="A103" s="36">
        <v>38</v>
      </c>
      <c r="B103" s="117">
        <f t="shared" ref="B103:B116" si="828">A103*25.4</f>
        <v>965.19999999999993</v>
      </c>
      <c r="C103" s="37">
        <v>965</v>
      </c>
      <c r="D103" s="20"/>
      <c r="E103" s="20"/>
      <c r="F103" s="20"/>
      <c r="G103" s="20"/>
      <c r="H103" s="20"/>
      <c r="I103" s="20"/>
      <c r="J103" s="26">
        <v>9.5299999999999994</v>
      </c>
      <c r="K103" s="20"/>
      <c r="L103" s="20"/>
      <c r="M103" s="20"/>
      <c r="N103" s="31">
        <v>12.7</v>
      </c>
      <c r="O103" s="20"/>
      <c r="P103" s="20"/>
      <c r="Q103" s="20"/>
      <c r="R103" s="20"/>
      <c r="S103" s="20"/>
      <c r="T103" s="20"/>
      <c r="U103" s="35"/>
    </row>
    <row r="104" spans="1:21" hidden="1" x14ac:dyDescent="0.25">
      <c r="A104" s="30">
        <v>40</v>
      </c>
      <c r="B104" s="117">
        <f t="shared" si="828"/>
        <v>1016</v>
      </c>
      <c r="C104" s="23">
        <v>1016</v>
      </c>
      <c r="D104" s="20"/>
      <c r="E104" s="20"/>
      <c r="F104" s="20"/>
      <c r="G104" s="20"/>
      <c r="H104" s="20"/>
      <c r="I104" s="20"/>
      <c r="J104" s="26">
        <v>9.5299999999999994</v>
      </c>
      <c r="K104" s="20"/>
      <c r="L104" s="20"/>
      <c r="M104" s="20"/>
      <c r="N104" s="31">
        <v>12.7</v>
      </c>
      <c r="O104" s="20"/>
      <c r="P104" s="20"/>
      <c r="Q104" s="20"/>
      <c r="R104" s="20"/>
      <c r="S104" s="20"/>
      <c r="T104" s="20"/>
      <c r="U104" s="35"/>
    </row>
    <row r="105" spans="1:21" hidden="1" x14ac:dyDescent="0.25">
      <c r="A105" s="30">
        <v>42</v>
      </c>
      <c r="B105" s="117">
        <f t="shared" si="828"/>
        <v>1066.8</v>
      </c>
      <c r="C105" s="23">
        <v>1067</v>
      </c>
      <c r="D105" s="20"/>
      <c r="E105" s="20"/>
      <c r="F105" s="20"/>
      <c r="G105" s="20"/>
      <c r="H105" s="20"/>
      <c r="I105" s="20"/>
      <c r="J105" s="26">
        <v>9.5299999999999994</v>
      </c>
      <c r="K105" s="20"/>
      <c r="L105" s="20"/>
      <c r="M105" s="20"/>
      <c r="N105" s="31">
        <v>12.7</v>
      </c>
      <c r="O105" s="20"/>
      <c r="P105" s="20"/>
      <c r="Q105" s="20"/>
      <c r="R105" s="20"/>
      <c r="S105" s="20"/>
      <c r="T105" s="20"/>
      <c r="U105" s="35"/>
    </row>
    <row r="106" spans="1:21" hidden="1" x14ac:dyDescent="0.25">
      <c r="A106" s="30">
        <v>44</v>
      </c>
      <c r="B106" s="117">
        <f t="shared" si="828"/>
        <v>1117.5999999999999</v>
      </c>
      <c r="C106" s="23">
        <v>1118</v>
      </c>
      <c r="D106" s="20"/>
      <c r="E106" s="20"/>
      <c r="F106" s="20"/>
      <c r="G106" s="20"/>
      <c r="H106" s="20"/>
      <c r="I106" s="20"/>
      <c r="J106" s="26">
        <v>9.5299999999999994</v>
      </c>
      <c r="K106" s="20"/>
      <c r="L106" s="20"/>
      <c r="M106" s="20"/>
      <c r="N106" s="31">
        <v>12.7</v>
      </c>
      <c r="O106" s="20"/>
      <c r="P106" s="20"/>
      <c r="Q106" s="20"/>
      <c r="R106" s="20"/>
      <c r="S106" s="20"/>
      <c r="T106" s="20"/>
      <c r="U106" s="35"/>
    </row>
    <row r="107" spans="1:21" hidden="1" x14ac:dyDescent="0.25">
      <c r="A107" s="30">
        <v>46</v>
      </c>
      <c r="B107" s="117">
        <f t="shared" si="828"/>
        <v>1168.3999999999999</v>
      </c>
      <c r="C107" s="23">
        <v>1168</v>
      </c>
      <c r="D107" s="20"/>
      <c r="E107" s="20"/>
      <c r="F107" s="20"/>
      <c r="G107" s="20"/>
      <c r="H107" s="20"/>
      <c r="I107" s="20"/>
      <c r="J107" s="26">
        <v>9.5299999999999994</v>
      </c>
      <c r="K107" s="20"/>
      <c r="L107" s="20"/>
      <c r="M107" s="20"/>
      <c r="N107" s="31">
        <v>12.7</v>
      </c>
      <c r="O107" s="20"/>
      <c r="P107" s="20"/>
      <c r="Q107" s="20"/>
      <c r="R107" s="20"/>
      <c r="S107" s="20"/>
      <c r="T107" s="20"/>
      <c r="U107" s="35"/>
    </row>
    <row r="108" spans="1:21" hidden="1" x14ac:dyDescent="0.25">
      <c r="A108" s="30">
        <v>48</v>
      </c>
      <c r="B108" s="117">
        <f t="shared" si="828"/>
        <v>1219.1999999999998</v>
      </c>
      <c r="C108" s="23">
        <v>1219</v>
      </c>
      <c r="D108" s="20"/>
      <c r="E108" s="20"/>
      <c r="F108" s="20"/>
      <c r="G108" s="20"/>
      <c r="H108" s="20"/>
      <c r="I108" s="20"/>
      <c r="J108" s="26">
        <v>9.5299999999999994</v>
      </c>
      <c r="K108" s="20"/>
      <c r="L108" s="20"/>
      <c r="M108" s="20"/>
      <c r="N108" s="31">
        <v>12.7</v>
      </c>
      <c r="O108" s="20"/>
      <c r="P108" s="20"/>
      <c r="Q108" s="20"/>
      <c r="R108" s="20"/>
      <c r="S108" s="20"/>
      <c r="T108" s="20"/>
      <c r="U108" s="35"/>
    </row>
    <row r="109" spans="1:21" hidden="1" x14ac:dyDescent="0.25">
      <c r="A109" s="30">
        <v>52</v>
      </c>
      <c r="B109" s="117">
        <f t="shared" si="828"/>
        <v>1320.8</v>
      </c>
      <c r="C109" s="23">
        <v>1321</v>
      </c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35"/>
    </row>
    <row r="110" spans="1:21" hidden="1" x14ac:dyDescent="0.25">
      <c r="A110" s="30">
        <v>56</v>
      </c>
      <c r="B110" s="117">
        <f t="shared" si="828"/>
        <v>1422.3999999999999</v>
      </c>
      <c r="C110" s="23">
        <v>1422</v>
      </c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35"/>
    </row>
    <row r="111" spans="1:21" hidden="1" x14ac:dyDescent="0.25">
      <c r="A111" s="30">
        <v>60</v>
      </c>
      <c r="B111" s="117">
        <f t="shared" si="828"/>
        <v>1524</v>
      </c>
      <c r="C111" s="23">
        <v>1524</v>
      </c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35"/>
    </row>
    <row r="112" spans="1:21" hidden="1" x14ac:dyDescent="0.25">
      <c r="A112" s="30">
        <v>64</v>
      </c>
      <c r="B112" s="117">
        <f t="shared" si="828"/>
        <v>1625.6</v>
      </c>
      <c r="C112" s="23">
        <v>1626</v>
      </c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35"/>
    </row>
    <row r="113" spans="1:21" hidden="1" x14ac:dyDescent="0.25">
      <c r="A113" s="30">
        <v>68</v>
      </c>
      <c r="B113" s="117">
        <f t="shared" si="828"/>
        <v>1727.1999999999998</v>
      </c>
      <c r="C113" s="23">
        <v>1727</v>
      </c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35"/>
    </row>
    <row r="114" spans="1:21" hidden="1" x14ac:dyDescent="0.25">
      <c r="A114" s="30">
        <v>72</v>
      </c>
      <c r="B114" s="117">
        <f t="shared" si="828"/>
        <v>1828.8</v>
      </c>
      <c r="C114" s="23">
        <v>1829</v>
      </c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35"/>
    </row>
    <row r="115" spans="1:21" hidden="1" x14ac:dyDescent="0.25">
      <c r="A115" s="30">
        <v>76</v>
      </c>
      <c r="B115" s="117">
        <f t="shared" si="828"/>
        <v>1930.3999999999999</v>
      </c>
      <c r="C115" s="23">
        <v>1930</v>
      </c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35"/>
    </row>
    <row r="116" spans="1:21" ht="15.75" hidden="1" thickBot="1" x14ac:dyDescent="0.3">
      <c r="A116" s="38">
        <v>80</v>
      </c>
      <c r="B116" s="117">
        <f t="shared" si="828"/>
        <v>2032</v>
      </c>
      <c r="C116" s="39">
        <v>2032</v>
      </c>
      <c r="D116" s="40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2"/>
    </row>
    <row r="117" spans="1:21" hidden="1" x14ac:dyDescent="0.25"/>
    <row r="118" spans="1:21" hidden="1" x14ac:dyDescent="0.25"/>
    <row r="119" spans="1:21" hidden="1" x14ac:dyDescent="0.25">
      <c r="D119" s="120"/>
    </row>
  </sheetData>
  <autoFilter ref="A7:U119" xr:uid="{00000000-0009-0000-0000-000003000000}">
    <filterColumn colId="3">
      <colorFilter dxfId="0"/>
    </filterColumn>
  </autoFilter>
  <mergeCells count="3">
    <mergeCell ref="E2:U2"/>
    <mergeCell ref="E3:U3"/>
    <mergeCell ref="D5:U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BENDING LEG  CHECK</vt:lpstr>
      <vt:lpstr>MATERIAL  DATA</vt:lpstr>
      <vt:lpstr>STD PIPE WALL THICKNESS</vt:lpstr>
      <vt:lpstr>SIF CHECK</vt:lpstr>
    </vt:vector>
  </TitlesOfParts>
  <Company>Petrofac Int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Ramkumar.sg</dc:creator>
  <cp:lastModifiedBy>B, Venkateshwarlu</cp:lastModifiedBy>
  <dcterms:created xsi:type="dcterms:W3CDTF">2014-09-01T11:47:28Z</dcterms:created>
  <dcterms:modified xsi:type="dcterms:W3CDTF">2021-03-28T15:30:06Z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15ad2b-2b08-4b4b-ab33-60fb39cd9089_Enabled">
    <vt:lpwstr>true</vt:lpwstr>
  </property>
  <property fmtid="{D5CDD505-2E9C-101B-9397-08002B2CF9AE}" pid="3" name="MSIP_Label_f115ad2b-2b08-4b4b-ab33-60fb39cd9089_SetDate">
    <vt:lpwstr>2021-01-18T13:39:47Z</vt:lpwstr>
  </property>
  <property fmtid="{D5CDD505-2E9C-101B-9397-08002B2CF9AE}" pid="4" name="MSIP_Label_f115ad2b-2b08-4b4b-ab33-60fb39cd9089_Method">
    <vt:lpwstr>Standard</vt:lpwstr>
  </property>
  <property fmtid="{D5CDD505-2E9C-101B-9397-08002B2CF9AE}" pid="5" name="MSIP_Label_f115ad2b-2b08-4b4b-ab33-60fb39cd9089_Name">
    <vt:lpwstr>f115ad2b-2b08-4b4b-ab33-60fb39cd9089</vt:lpwstr>
  </property>
  <property fmtid="{D5CDD505-2E9C-101B-9397-08002B2CF9AE}" pid="6" name="MSIP_Label_f115ad2b-2b08-4b4b-ab33-60fb39cd9089_SiteId">
    <vt:lpwstr>16a4d712-85ca-455c-bba0-139c059e16e3</vt:lpwstr>
  </property>
  <property fmtid="{D5CDD505-2E9C-101B-9397-08002B2CF9AE}" pid="7" name="MSIP_Label_f115ad2b-2b08-4b4b-ab33-60fb39cd9089_ActionId">
    <vt:lpwstr>5f716586-9ab1-40b6-b67e-0b05de34d5a5</vt:lpwstr>
  </property>
  <property fmtid="{D5CDD505-2E9C-101B-9397-08002B2CF9AE}" pid="8" name="MSIP_Label_f115ad2b-2b08-4b4b-ab33-60fb39cd9089_ContentBits">
    <vt:lpwstr>0</vt:lpwstr>
  </property>
</Properties>
</file>