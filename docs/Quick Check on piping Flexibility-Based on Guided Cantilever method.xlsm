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F7A" lockStructure="1"/>
  <bookViews>
    <workbookView xWindow="12300" yWindow="-108" windowWidth="15672" windowHeight="11016" firstSheet="6" activeTab="6"/>
  </bookViews>
  <sheets>
    <sheet name="Flexibility Check" sheetId="1" state="hidden" r:id="rId1"/>
    <sheet name="B31.3 Values" sheetId="8" state="hidden" r:id="rId2"/>
    <sheet name="k" sheetId="6" state="hidden" r:id="rId3"/>
    <sheet name="Thk ratios" sheetId="5" state="hidden" r:id="rId4"/>
    <sheet name="SS Cu-Ni factors" sheetId="4" state="hidden" r:id="rId5"/>
    <sheet name="CS Thk" sheetId="9" state="hidden" r:id="rId6"/>
    <sheet name="Spreadsheet for Flexibility Chk" sheetId="10" r:id="rId7"/>
  </sheets>
  <functionGroups builtInGroupCount="17"/>
  <definedNames>
    <definedName name="Def">'Flexibility Check'!$AC$7</definedName>
    <definedName name="elbow">'Flexibility Check'!$C$10</definedName>
    <definedName name="elbow_def">'Flexibility Check'!$AC$10</definedName>
    <definedName name="lgth">'Flexibility Check'!$C$5</definedName>
    <definedName name="ltrl">'Flexibility Check'!$C$9</definedName>
    <definedName name="ltrl_def">'Flexibility Check'!$AC$9</definedName>
    <definedName name="mtrl">'Flexibility Check'!$C$3</definedName>
    <definedName name="mtrl_def">'Flexibility Check'!$AC$3</definedName>
    <definedName name="nps">'Flexibility Check'!$C$4</definedName>
    <definedName name="nps_def">'Flexibility Check'!$AC$4</definedName>
    <definedName name="reducer">'Flexibility Check'!$C$11</definedName>
    <definedName name="reducer_def">'Flexibility Check'!$AC$11</definedName>
    <definedName name="result">'Flexibility Check'!$C$15</definedName>
    <definedName name="result_2">'Flexibility Check'!$D$15</definedName>
    <definedName name="result_2_def">'Flexibility Check'!$AD$15</definedName>
    <definedName name="result_def">'Flexibility Check'!$AC$15</definedName>
    <definedName name="temp">'Flexibility Check'!$E$7</definedName>
    <definedName name="temp_def">'Flexibility Check'!$AE$7</definedName>
    <definedName name="temp1">'Flexibility Check'!$E$7</definedName>
  </definedNames>
  <calcPr calcId="145621"/>
</workbook>
</file>

<file path=xl/calcChain.xml><?xml version="1.0" encoding="utf-8"?>
<calcChain xmlns="http://schemas.openxmlformats.org/spreadsheetml/2006/main">
  <c r="AN7" i="1" l="1"/>
  <c r="AP7" i="1"/>
  <c r="AP8" i="1"/>
  <c r="AO8" i="1" s="1"/>
  <c r="AN8" i="1" s="1"/>
  <c r="AP9" i="1"/>
  <c r="AN9" i="1" s="1"/>
  <c r="I2" i="1" l="1"/>
  <c r="AI2" i="1"/>
  <c r="H2" i="1"/>
  <c r="Z3" i="5" l="1"/>
  <c r="AF38" i="1" l="1"/>
  <c r="AD38" i="1"/>
  <c r="AC38" i="1"/>
  <c r="AE38" i="1" s="1"/>
  <c r="AN10" i="1"/>
  <c r="AF7" i="1" l="1"/>
  <c r="AK12" i="1"/>
  <c r="AK9" i="1"/>
  <c r="AJ7" i="1"/>
  <c r="AK3" i="1"/>
  <c r="AC15" i="1" l="1"/>
  <c r="AD15" i="1" s="1"/>
  <c r="X3" i="5"/>
  <c r="W3" i="5"/>
  <c r="K3" i="1" l="1"/>
  <c r="N11" i="8" l="1"/>
  <c r="I50" i="8" s="1"/>
  <c r="L11" i="8"/>
  <c r="H50" i="8" s="1"/>
  <c r="J11" i="8"/>
  <c r="G50" i="8" s="1"/>
  <c r="H11" i="8"/>
  <c r="F50" i="8" s="1"/>
  <c r="F11" i="8"/>
  <c r="D42" i="8" s="1"/>
  <c r="N10" i="8"/>
  <c r="I49" i="8" s="1"/>
  <c r="L10" i="8"/>
  <c r="H49" i="8" s="1"/>
  <c r="J10" i="8"/>
  <c r="G49" i="8" s="1"/>
  <c r="H10" i="8"/>
  <c r="F49" i="8" s="1"/>
  <c r="F10" i="8"/>
  <c r="D41" i="8" s="1"/>
  <c r="N9" i="8"/>
  <c r="I48" i="8" s="1"/>
  <c r="L9" i="8"/>
  <c r="H48" i="8" s="1"/>
  <c r="J9" i="8"/>
  <c r="G48" i="8" s="1"/>
  <c r="H9" i="8"/>
  <c r="F48" i="8" s="1"/>
  <c r="F9" i="8"/>
  <c r="D40" i="8" s="1"/>
  <c r="N8" i="8"/>
  <c r="I47" i="8" s="1"/>
  <c r="L8" i="8"/>
  <c r="H47" i="8" s="1"/>
  <c r="J8" i="8"/>
  <c r="G47" i="8" s="1"/>
  <c r="H8" i="8"/>
  <c r="F47" i="8" s="1"/>
  <c r="F8" i="8"/>
  <c r="D39" i="8" s="1"/>
  <c r="N7" i="8"/>
  <c r="I46" i="8" s="1"/>
  <c r="L7" i="8"/>
  <c r="H46" i="8" s="1"/>
  <c r="J7" i="8"/>
  <c r="G46" i="8" s="1"/>
  <c r="H7" i="8"/>
  <c r="F46" i="8" s="1"/>
  <c r="F7" i="8"/>
  <c r="D38" i="8" s="1"/>
  <c r="L5" i="6" l="1"/>
  <c r="H5" i="6"/>
  <c r="E5" i="6"/>
  <c r="D5" i="6"/>
  <c r="L4" i="6"/>
  <c r="H4" i="6"/>
  <c r="E4" i="6"/>
  <c r="D4" i="6"/>
  <c r="F4" i="6" s="1"/>
  <c r="L3" i="6"/>
  <c r="H3" i="6"/>
  <c r="E3" i="6"/>
  <c r="D3" i="6"/>
  <c r="F3" i="6" s="1"/>
  <c r="L2" i="6"/>
  <c r="H2" i="6"/>
  <c r="E2" i="6"/>
  <c r="D2" i="6"/>
  <c r="F2" i="6" s="1"/>
  <c r="R17" i="5"/>
  <c r="T17" i="5" s="1"/>
  <c r="L17" i="5"/>
  <c r="F17" i="5"/>
  <c r="R16" i="5"/>
  <c r="T16" i="5" s="1"/>
  <c r="L16" i="5"/>
  <c r="F16" i="5"/>
  <c r="R15" i="5"/>
  <c r="T15" i="5" s="1"/>
  <c r="L15" i="5"/>
  <c r="F15" i="5"/>
  <c r="R14" i="5"/>
  <c r="T14" i="5" s="1"/>
  <c r="L14" i="5"/>
  <c r="F14" i="5"/>
  <c r="R13" i="5"/>
  <c r="T13" i="5" s="1"/>
  <c r="L13" i="5"/>
  <c r="F13" i="5"/>
  <c r="R12" i="5"/>
  <c r="T12" i="5" s="1"/>
  <c r="L12" i="5"/>
  <c r="F12" i="5"/>
  <c r="R11" i="5"/>
  <c r="T11" i="5" s="1"/>
  <c r="L11" i="5"/>
  <c r="F11" i="5"/>
  <c r="R10" i="5"/>
  <c r="T10" i="5" s="1"/>
  <c r="L10" i="5"/>
  <c r="F10" i="5"/>
  <c r="R9" i="5"/>
  <c r="T9" i="5" s="1"/>
  <c r="L9" i="5"/>
  <c r="F9" i="5"/>
  <c r="R8" i="5"/>
  <c r="T8" i="5" s="1"/>
  <c r="L8" i="5"/>
  <c r="F8" i="5"/>
  <c r="R7" i="5"/>
  <c r="T7" i="5" s="1"/>
  <c r="L7" i="5"/>
  <c r="F7" i="5"/>
  <c r="R6" i="5"/>
  <c r="T6" i="5" s="1"/>
  <c r="L6" i="5"/>
  <c r="F6" i="5"/>
  <c r="R5" i="5"/>
  <c r="T5" i="5" s="1"/>
  <c r="L5" i="5"/>
  <c r="F5" i="5"/>
  <c r="R4" i="5"/>
  <c r="T4" i="5" s="1"/>
  <c r="L4" i="5"/>
  <c r="F4" i="5"/>
  <c r="R3" i="5"/>
  <c r="T3" i="5" s="1"/>
  <c r="L3" i="5"/>
  <c r="F3" i="5"/>
  <c r="G16" i="4"/>
  <c r="F16" i="4"/>
  <c r="C16" i="4"/>
  <c r="B16" i="4"/>
  <c r="G15" i="4"/>
  <c r="F15" i="4"/>
  <c r="C15" i="4"/>
  <c r="B15" i="4"/>
  <c r="I7" i="4"/>
  <c r="I6" i="4" s="1"/>
  <c r="G6" i="4"/>
  <c r="D6" i="4"/>
  <c r="C4" i="4"/>
  <c r="C1" i="4"/>
  <c r="B6" i="4" s="1"/>
  <c r="D38" i="1" l="1"/>
  <c r="F38" i="1" s="1"/>
  <c r="J7" i="1"/>
  <c r="C38" i="1"/>
  <c r="E38" i="1" s="1"/>
  <c r="F7" i="1" s="1"/>
  <c r="K12" i="1"/>
  <c r="K9" i="1"/>
  <c r="C7" i="1" l="1"/>
  <c r="C15" i="1" s="1"/>
  <c r="D15" i="1" l="1"/>
</calcChain>
</file>

<file path=xl/comments1.xml><?xml version="1.0" encoding="utf-8"?>
<comments xmlns="http://schemas.openxmlformats.org/spreadsheetml/2006/main">
  <authors>
    <author>Lakshmanan K</author>
  </authors>
  <commentList>
    <comment ref="C7" authorId="0">
      <text>
        <r>
          <rPr>
            <b/>
            <sz val="9"/>
            <color indexed="81"/>
            <rFont val="Tahoma"/>
            <family val="2"/>
          </rPr>
          <t>=IF(C6="Stress", (C5/1000)*(ABS(F7)+ABS(J7)), (C5/1000)*(ABS(F7)))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7" authorId="0">
      <text>
        <r>
          <rPr>
            <b/>
            <sz val="9"/>
            <color indexed="81"/>
            <rFont val="Tahoma"/>
            <family val="2"/>
          </rPr>
          <t>=IF(C6="Stress", (C5/1000)*(ABS(F7)+ABS(J7)), (C5/1000)*(ABS(F7)))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<sst xmlns="http://schemas.openxmlformats.org/spreadsheetml/2006/main" count="221" uniqueCount="104">
  <si>
    <t>CS</t>
  </si>
  <si>
    <t>SS</t>
  </si>
  <si>
    <t>DSS</t>
  </si>
  <si>
    <t>Material</t>
  </si>
  <si>
    <t>OD(mm)</t>
  </si>
  <si>
    <t>Check?</t>
  </si>
  <si>
    <t>Stress</t>
  </si>
  <si>
    <t>Reducer</t>
  </si>
  <si>
    <t>No. of elbows*</t>
  </si>
  <si>
    <t>Cu-Ni</t>
  </si>
  <si>
    <t>Expansion to be absorbed(mm)</t>
  </si>
  <si>
    <t>eq C</t>
  </si>
  <si>
    <t>−200</t>
  </si>
  <si>
    <t>−100</t>
  </si>
  <si>
    <t>−50</t>
  </si>
  <si>
    <t>−2.2</t>
  </si>
  <si>
    <t>−1.3</t>
  </si>
  <si>
    <t>−0.8</t>
  </si>
  <si>
    <t>−3.0</t>
  </si>
  <si>
    <t>−1.7</t>
  </si>
  <si>
    <t>−1.0</t>
  </si>
  <si>
    <t>-</t>
  </si>
  <si>
    <t>−0.9</t>
  </si>
  <si>
    <t>−2.6</t>
  </si>
  <si>
    <t>−1.6</t>
  </si>
  <si>
    <t>Reduced Dia (mm)</t>
  </si>
  <si>
    <t>Reference</t>
  </si>
  <si>
    <t>Offset straight Length/ Offset Developed length required (mm)</t>
  </si>
  <si>
    <t>*Downstream line from elbow shall be perpendicular to movement</t>
  </si>
  <si>
    <t>High Thick Pipe/Lateral Tee/Extruded Tee</t>
  </si>
  <si>
    <t>Pipe Thk/Special sif</t>
  </si>
  <si>
    <t>Std Thk/Welding sif</t>
  </si>
  <si>
    <t>Length/Differential length causing Expansion (mm)</t>
  </si>
  <si>
    <t>Cu-Ni (70-30)</t>
  </si>
  <si>
    <t>INCONEL</t>
  </si>
  <si>
    <t>Min Temperature (Deg C)</t>
  </si>
  <si>
    <t>MaxTemperature (Deg C)</t>
  </si>
  <si>
    <t>Alpha+</t>
  </si>
  <si>
    <t>Alpha-</t>
  </si>
  <si>
    <t>+Temp(Deg C)</t>
  </si>
  <si>
    <t>-Temp(Deg C)</t>
  </si>
  <si>
    <t>E</t>
  </si>
  <si>
    <t>Pa</t>
  </si>
  <si>
    <t>D</t>
  </si>
  <si>
    <t>mm</t>
  </si>
  <si>
    <t>delta</t>
  </si>
  <si>
    <t>S</t>
  </si>
  <si>
    <t>ft</t>
  </si>
  <si>
    <t>Stress based</t>
  </si>
  <si>
    <t>E based</t>
  </si>
  <si>
    <t>Thickness based</t>
  </si>
  <si>
    <t>Actual</t>
  </si>
  <si>
    <t>Earlier</t>
  </si>
  <si>
    <t>SS/DSS</t>
  </si>
  <si>
    <t>SS requires 1.07 times more flex stress based</t>
  </si>
  <si>
    <t>SS is .98 lower E thanCS</t>
  </si>
  <si>
    <t>SS is .8 lower thk (STD) thanCS</t>
  </si>
  <si>
    <t>Tee/Bends</t>
  </si>
  <si>
    <t>Nozzle loads</t>
  </si>
  <si>
    <t>SS factor</t>
  </si>
  <si>
    <t>NS</t>
  </si>
  <si>
    <t>OD</t>
  </si>
  <si>
    <t>40S</t>
  </si>
  <si>
    <t>80S</t>
  </si>
  <si>
    <t>Cu-Ni 16 bar</t>
  </si>
  <si>
    <t>Avg</t>
  </si>
  <si>
    <t>k</t>
  </si>
  <si>
    <t>so</t>
  </si>
  <si>
    <t>Modulus of Elasticity (Million Psi)</t>
  </si>
  <si>
    <t>(Table C-6 from B31.3)</t>
  </si>
  <si>
    <t>Temp C</t>
  </si>
  <si>
    <t>Temp F</t>
  </si>
  <si>
    <t>A106 Gr.B</t>
  </si>
  <si>
    <t>A312 Gr.316</t>
  </si>
  <si>
    <t>Cu90-Ni10</t>
  </si>
  <si>
    <t>Inconel</t>
  </si>
  <si>
    <t>In N/mm^2</t>
  </si>
  <si>
    <t>Allowable Stress (Mpa) (N/mm^2)</t>
  </si>
  <si>
    <t>(Table A-1M from B31.3)</t>
  </si>
  <si>
    <t>A790 (S31803)</t>
  </si>
  <si>
    <t>Cu90-Ni10 (B467)</t>
  </si>
  <si>
    <t>Thermal Expansion Co-efficient (10^-6mm/mm/C)</t>
  </si>
  <si>
    <t>(Table C-2 from B31.3)</t>
  </si>
  <si>
    <t>Group 1</t>
  </si>
  <si>
    <t>70Cu-30Ni</t>
  </si>
  <si>
    <t xml:space="preserve">Length </t>
  </si>
  <si>
    <t>N06625</t>
  </si>
  <si>
    <t>UNS N06625 (II-D)</t>
  </si>
  <si>
    <t>Linear Thermal Expansion (mm/m)</t>
  </si>
  <si>
    <t>Length - Co-efficients</t>
  </si>
  <si>
    <t>20*</t>
  </si>
  <si>
    <t>No</t>
  </si>
  <si>
    <t>Cu-Ni 20 Bar</t>
  </si>
  <si>
    <t>5S</t>
  </si>
  <si>
    <t>10S</t>
  </si>
  <si>
    <t>STD</t>
  </si>
  <si>
    <t>XS</t>
  </si>
  <si>
    <t>XXS</t>
  </si>
  <si>
    <t>od in in</t>
  </si>
  <si>
    <t xml:space="preserve"> </t>
  </si>
  <si>
    <t xml:space="preserve">Dated: </t>
  </si>
  <si>
    <t>Quick Check on piping Flexibility (Temperature)</t>
  </si>
  <si>
    <t>Quick Check on piping Flexibility (Deflection)</t>
  </si>
  <si>
    <t>Deflection from temperature table (For DF1,DF3)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</si>
</sst>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43" formatCode="_ * #,##0.00_ ;_ * \-#,##0.00_ ;_ * &quot;-&quot;??_ ;_ @_ "/>
    <numFmt numFmtId="164" formatCode="0.0"/>
    <numFmt numFmtId="165" formatCode="0.0000"/>
    <numFmt numFmtId="166" formatCode="_ * #,##0_ ;_ * \-#,##0_ ;_ * &quot;-&quot;??_ ;_ @_ "/>
    <numFmt numFmtId="167" formatCode="0.00\ &quot;mm/m&quot;"/>
    <numFmt numFmtId="168" formatCode="#,##0_ ;\-#,##0\ "/>
    <numFmt numFmtId="169" formatCode="&quot;$&quot;#,##0.0000_);\(&quot;$&quot;#,##0.0000\)"/>
    <numFmt numFmtId="170" formatCode="&quot;£&quot;#,##0.00;[Red]\-&quot;£&quot;#,##0.00"/>
    <numFmt numFmtId="171" formatCode="&quot;£&quot;#,##0;[Red]\-&quot;£&quot;#,##0"/>
    <numFmt numFmtId="172" formatCode="#,##0.0_);\(#,##0.0\)"/>
    <numFmt numFmtId="173" formatCode="_-* #,##0\ _F_-;\-* #,##0\ _F_-;_-* &quot;-&quot;\ _F_-;_-@_-"/>
    <numFmt numFmtId="174" formatCode="_-* #,##0.00\ _F_-;\-* #,##0.00\ _F_-;_-* &quot;-&quot;??\ _F_-;_-@_-"/>
    <numFmt numFmtId="175" formatCode="_-* #,##0\ &quot;F&quot;_-;\-* #,##0\ &quot;F&quot;_-;_-* &quot;-&quot;\ &quot;F&quot;_-;_-@_-"/>
    <numFmt numFmtId="176" formatCode="_-* #,##0.00\ &quot;F&quot;_-;\-* #,##0.00\ &quot;F&quot;_-;_-* &quot;-&quot;??\ &quot;F&quot;_-;_-@_-"/>
    <numFmt numFmtId="177" formatCode="0.00_)"/>
    <numFmt numFmtId="178" formatCode="_-* #,##0.00_-;\-* #,##0.00_-;_-* &quot;-&quot;??_-;_-@_-"/>
    <numFmt numFmtId="179" formatCode="_-* #,##0_-;\-* #,##0_-;_-* &quot;-&quot;_-;_-@_-"/>
    <numFmt numFmtId="180" formatCode="&quot;$&quot;#,##0;\-&quot;$&quot;#,##0"/>
    <numFmt numFmtId="181" formatCode="mm/dd/yy"/>
    <numFmt numFmtId="182" formatCode="[$-409]d\-mmm\-yy;@"/>
  </numFmts>
  <fonts count="4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rgb="FF17365D"/>
      <name val="Cambria"/>
      <family val="1"/>
    </font>
    <font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17365D"/>
      <name val="Cambria"/>
      <family val="1"/>
    </font>
    <font>
      <b/>
      <sz val="16"/>
      <color theme="3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sz val="12"/>
      <name val="CG Times"/>
    </font>
    <font>
      <sz val="8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10"/>
      <name val="Times New Roman"/>
      <family val="1"/>
    </font>
    <font>
      <b/>
      <sz val="12"/>
      <name val="Arial"/>
      <family val="2"/>
    </font>
    <font>
      <u/>
      <sz val="10"/>
      <color indexed="12"/>
      <name val="Arial"/>
      <family val="2"/>
    </font>
    <font>
      <sz val="12"/>
      <name val="Helv"/>
    </font>
    <font>
      <sz val="12"/>
      <color indexed="9"/>
      <name val="Helv"/>
    </font>
    <font>
      <b/>
      <i/>
      <sz val="16"/>
      <name val="Helv"/>
    </font>
    <font>
      <sz val="10"/>
      <name val="MS Sans Serif"/>
      <family val="2"/>
    </font>
    <font>
      <sz val="10"/>
      <name val="Tms Rmn"/>
    </font>
    <font>
      <sz val="8"/>
      <name val="Helv"/>
    </font>
    <font>
      <sz val="8"/>
      <name val="Arial MT"/>
    </font>
    <font>
      <b/>
      <sz val="8"/>
      <color indexed="8"/>
      <name val="Helv"/>
    </font>
    <font>
      <b/>
      <sz val="10"/>
      <color theme="1"/>
      <name val="Arial"/>
      <family val="2"/>
    </font>
    <font>
      <strike/>
      <sz val="11"/>
      <color rgb="FFFF0000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5">
    <xf numFmtId="0" fontId="0" fillId="0" borderId="0"/>
    <xf numFmtId="43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16" fillId="0" borderId="0"/>
    <xf numFmtId="0" fontId="19" fillId="0" borderId="0"/>
    <xf numFmtId="0" fontId="20" fillId="0" borderId="0">
      <alignment horizontal="center" wrapText="1"/>
      <protection locked="0"/>
    </xf>
    <xf numFmtId="0" fontId="21" fillId="0" borderId="7" applyFill="0" applyBorder="0"/>
    <xf numFmtId="0" fontId="16" fillId="0" borderId="0" applyFill="0" applyBorder="0"/>
    <xf numFmtId="169" fontId="16" fillId="0" borderId="0" applyFill="0" applyBorder="0" applyAlignment="0"/>
    <xf numFmtId="43" fontId="22" fillId="0" borderId="0" applyFont="0" applyFill="0" applyBorder="0" applyAlignment="0" applyProtection="0"/>
    <xf numFmtId="0" fontId="23" fillId="0" borderId="0" applyNumberFormat="0" applyAlignment="0">
      <alignment horizontal="left"/>
    </xf>
    <xf numFmtId="0" fontId="24" fillId="0" borderId="0" applyNumberFormat="0" applyAlignment="0"/>
    <xf numFmtId="170" fontId="16" fillId="0" borderId="0" applyFill="0" applyBorder="0" applyAlignment="0" applyProtection="0"/>
    <xf numFmtId="171" fontId="16" fillId="0" borderId="0" applyFill="0" applyBorder="0" applyAlignment="0" applyProtection="0"/>
    <xf numFmtId="0" fontId="25" fillId="0" borderId="0" applyNumberFormat="0" applyAlignment="0">
      <alignment horizontal="left"/>
    </xf>
    <xf numFmtId="0" fontId="26" fillId="0" borderId="4" applyNumberFormat="0" applyFill="0" applyBorder="0" applyAlignment="0" applyProtection="0">
      <protection locked="0"/>
    </xf>
    <xf numFmtId="38" fontId="22" fillId="4" borderId="0" applyNumberFormat="0" applyBorder="0" applyAlignment="0" applyProtection="0"/>
    <xf numFmtId="0" fontId="27" fillId="0" borderId="28" applyNumberFormat="0" applyAlignment="0" applyProtection="0">
      <alignment horizontal="left" vertical="center"/>
    </xf>
    <xf numFmtId="0" fontId="27" fillId="0" borderId="16">
      <alignment horizontal="left" vertical="center"/>
    </xf>
    <xf numFmtId="0" fontId="27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10" fontId="22" fillId="5" borderId="2" applyNumberFormat="0" applyBorder="0" applyAlignment="0" applyProtection="0"/>
    <xf numFmtId="172" fontId="29" fillId="6" borderId="0"/>
    <xf numFmtId="172" fontId="30" fillId="7" borderId="0"/>
    <xf numFmtId="173" fontId="16" fillId="0" borderId="0" applyFont="0" applyFill="0" applyBorder="0" applyAlignment="0" applyProtection="0"/>
    <xf numFmtId="174" fontId="16" fillId="0" borderId="0" applyFont="0" applyFill="0" applyBorder="0" applyAlignment="0" applyProtection="0"/>
    <xf numFmtId="175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77" fontId="31" fillId="0" borderId="0"/>
    <xf numFmtId="0" fontId="5" fillId="0" borderId="0"/>
    <xf numFmtId="0" fontId="32" fillId="0" borderId="0"/>
    <xf numFmtId="0" fontId="16" fillId="0" borderId="0"/>
    <xf numFmtId="0" fontId="22" fillId="0" borderId="0"/>
    <xf numFmtId="178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4" fontId="20" fillId="0" borderId="0">
      <alignment horizontal="center" wrapText="1"/>
      <protection locked="0"/>
    </xf>
    <xf numFmtId="10" fontId="16" fillId="0" borderId="0" applyFont="0" applyFill="0" applyBorder="0" applyAlignment="0" applyProtection="0"/>
    <xf numFmtId="180" fontId="33" fillId="0" borderId="0"/>
    <xf numFmtId="0" fontId="32" fillId="0" borderId="0" applyNumberFormat="0" applyFont="0" applyFill="0" applyBorder="0" applyAlignment="0" applyProtection="0">
      <alignment horizontal="left"/>
    </xf>
    <xf numFmtId="181" fontId="34" fillId="0" borderId="0" applyNumberFormat="0" applyFill="0" applyBorder="0" applyAlignment="0" applyProtection="0">
      <alignment horizontal="left"/>
    </xf>
    <xf numFmtId="0" fontId="35" fillId="0" borderId="29" applyBorder="0" applyAlignment="0">
      <alignment horizontal="left"/>
    </xf>
    <xf numFmtId="40" fontId="36" fillId="0" borderId="0" applyBorder="0">
      <alignment horizontal="right"/>
    </xf>
    <xf numFmtId="0" fontId="2" fillId="0" borderId="0"/>
    <xf numFmtId="0" fontId="1" fillId="0" borderId="0"/>
  </cellStyleXfs>
  <cellXfs count="107">
    <xf numFmtId="0" fontId="0" fillId="0" borderId="0" xfId="0"/>
    <xf numFmtId="0" fontId="8" fillId="0" borderId="0" xfId="0" applyFont="1" applyAlignment="1">
      <alignment vertical="center"/>
    </xf>
    <xf numFmtId="0" fontId="0" fillId="0" borderId="2" xfId="0" applyBorder="1"/>
    <xf numFmtId="0" fontId="0" fillId="0" borderId="2" xfId="0" applyFill="1" applyBorder="1"/>
    <xf numFmtId="0" fontId="0" fillId="0" borderId="0" xfId="0" applyBorder="1"/>
    <xf numFmtId="164" fontId="0" fillId="0" borderId="0" xfId="0" applyNumberFormat="1"/>
    <xf numFmtId="2" fontId="0" fillId="0" borderId="0" xfId="0" applyNumberFormat="1"/>
    <xf numFmtId="0" fontId="0" fillId="0" borderId="0" xfId="0"/>
    <xf numFmtId="0" fontId="0" fillId="0" borderId="2" xfId="0" applyBorder="1" applyAlignment="1">
      <alignment horizontal="left"/>
    </xf>
    <xf numFmtId="0" fontId="0" fillId="0" borderId="0" xfId="0"/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3" xfId="0" applyBorder="1"/>
    <xf numFmtId="0" fontId="0" fillId="0" borderId="4" xfId="0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6" fillId="0" borderId="2" xfId="0" applyFont="1" applyFill="1" applyBorder="1" applyAlignment="1" applyProtection="1">
      <alignment horizontal="left" vertical="center"/>
      <protection locked="0"/>
    </xf>
    <xf numFmtId="0" fontId="10" fillId="0" borderId="0" xfId="0" applyFont="1"/>
    <xf numFmtId="0" fontId="9" fillId="0" borderId="3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wrapText="1"/>
    </xf>
    <xf numFmtId="0" fontId="0" fillId="0" borderId="2" xfId="0" applyBorder="1" applyAlignment="1">
      <alignment horizont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wrapText="1"/>
    </xf>
    <xf numFmtId="164" fontId="8" fillId="2" borderId="2" xfId="0" applyNumberFormat="1" applyFont="1" applyFill="1" applyBorder="1" applyAlignment="1" applyProtection="1">
      <alignment horizontal="center" vertical="center"/>
      <protection locked="0"/>
    </xf>
    <xf numFmtId="0" fontId="8" fillId="2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>
      <alignment horizontal="center"/>
    </xf>
    <xf numFmtId="164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quotePrefix="1" applyBorder="1" applyAlignment="1">
      <alignment horizontal="left"/>
    </xf>
    <xf numFmtId="0" fontId="6" fillId="3" borderId="2" xfId="0" applyFont="1" applyFill="1" applyBorder="1" applyAlignment="1" applyProtection="1">
      <alignment horizontal="left" vertical="center"/>
      <protection locked="0"/>
    </xf>
    <xf numFmtId="168" fontId="5" fillId="2" borderId="2" xfId="1" applyNumberFormat="1" applyFont="1" applyFill="1" applyBorder="1" applyAlignment="1" applyProtection="1">
      <alignment horizontal="center" vertical="center"/>
      <protection locked="0"/>
    </xf>
    <xf numFmtId="166" fontId="12" fillId="0" borderId="0" xfId="1" applyNumberFormat="1" applyFont="1" applyBorder="1" applyAlignment="1">
      <alignment vertical="center"/>
    </xf>
    <xf numFmtId="0" fontId="0" fillId="0" borderId="2" xfId="0" applyFont="1" applyFill="1" applyBorder="1" applyAlignment="1">
      <alignment horizontal="center"/>
    </xf>
    <xf numFmtId="167" fontId="6" fillId="3" borderId="10" xfId="0" applyNumberFormat="1" applyFont="1" applyFill="1" applyBorder="1" applyAlignment="1" applyProtection="1">
      <alignment horizontal="left" vertical="center" wrapText="1"/>
    </xf>
    <xf numFmtId="0" fontId="0" fillId="0" borderId="11" xfId="0" applyBorder="1"/>
    <xf numFmtId="167" fontId="6" fillId="3" borderId="2" xfId="0" applyNumberFormat="1" applyFont="1" applyFill="1" applyBorder="1" applyAlignment="1" applyProtection="1">
      <alignment horizontal="left" vertical="center" wrapText="1"/>
    </xf>
    <xf numFmtId="0" fontId="7" fillId="0" borderId="0" xfId="2" applyBorder="1" applyAlignment="1">
      <alignment wrapText="1"/>
    </xf>
    <xf numFmtId="0" fontId="13" fillId="0" borderId="0" xfId="0" applyFont="1" applyBorder="1" applyAlignment="1">
      <alignment horizontal="left" vertical="center"/>
    </xf>
    <xf numFmtId="166" fontId="14" fillId="0" borderId="0" xfId="1" applyNumberFormat="1" applyFont="1" applyBorder="1" applyAlignment="1">
      <alignment vertical="center"/>
    </xf>
    <xf numFmtId="0" fontId="15" fillId="0" borderId="0" xfId="0" applyFont="1"/>
    <xf numFmtId="12" fontId="17" fillId="0" borderId="12" xfId="3" applyNumberFormat="1" applyFont="1" applyBorder="1" applyAlignment="1" applyProtection="1">
      <alignment horizontal="center"/>
      <protection hidden="1"/>
    </xf>
    <xf numFmtId="0" fontId="17" fillId="0" borderId="13" xfId="3" applyFont="1" applyBorder="1" applyAlignment="1" applyProtection="1">
      <alignment horizontal="center"/>
      <protection hidden="1"/>
    </xf>
    <xf numFmtId="0" fontId="18" fillId="0" borderId="14" xfId="3" applyFont="1" applyBorder="1" applyAlignment="1" applyProtection="1">
      <alignment horizontal="center"/>
      <protection hidden="1"/>
    </xf>
    <xf numFmtId="12" fontId="16" fillId="0" borderId="18" xfId="3" quotePrefix="1" applyNumberFormat="1" applyFont="1" applyBorder="1" applyAlignment="1" applyProtection="1">
      <alignment horizontal="right"/>
      <protection hidden="1"/>
    </xf>
    <xf numFmtId="164" fontId="16" fillId="0" borderId="19" xfId="3" applyNumberFormat="1" applyFont="1" applyBorder="1" applyProtection="1">
      <protection hidden="1"/>
    </xf>
    <xf numFmtId="0" fontId="16" fillId="0" borderId="20" xfId="3" applyFont="1" applyBorder="1" applyProtection="1">
      <protection hidden="1"/>
    </xf>
    <xf numFmtId="12" fontId="16" fillId="0" borderId="21" xfId="3" quotePrefix="1" applyNumberFormat="1" applyFont="1" applyBorder="1" applyAlignment="1" applyProtection="1">
      <alignment horizontal="right"/>
      <protection hidden="1"/>
    </xf>
    <xf numFmtId="164" fontId="16" fillId="0" borderId="22" xfId="3" applyNumberFormat="1" applyFont="1" applyBorder="1" applyProtection="1">
      <protection hidden="1"/>
    </xf>
    <xf numFmtId="0" fontId="16" fillId="0" borderId="2" xfId="3" applyFont="1" applyBorder="1" applyProtection="1">
      <protection hidden="1"/>
    </xf>
    <xf numFmtId="12" fontId="16" fillId="0" borderId="21" xfId="3" applyNumberFormat="1" applyFont="1" applyBorder="1" applyAlignment="1" applyProtection="1">
      <alignment horizontal="right"/>
      <protection hidden="1"/>
    </xf>
    <xf numFmtId="2" fontId="16" fillId="0" borderId="2" xfId="3" applyNumberFormat="1" applyFont="1" applyBorder="1" applyProtection="1">
      <protection hidden="1"/>
    </xf>
    <xf numFmtId="0" fontId="16" fillId="0" borderId="2" xfId="3" applyFont="1" applyFill="1" applyBorder="1" applyProtection="1">
      <protection hidden="1"/>
    </xf>
    <xf numFmtId="12" fontId="16" fillId="0" borderId="23" xfId="3" applyNumberFormat="1" applyFont="1" applyBorder="1" applyAlignment="1" applyProtection="1">
      <alignment horizontal="right"/>
      <protection hidden="1"/>
    </xf>
    <xf numFmtId="164" fontId="16" fillId="0" borderId="24" xfId="3" applyNumberFormat="1" applyFont="1" applyBorder="1" applyProtection="1">
      <protection hidden="1"/>
    </xf>
    <xf numFmtId="0" fontId="16" fillId="0" borderId="2" xfId="4" applyFont="1" applyBorder="1" applyProtection="1"/>
    <xf numFmtId="12" fontId="16" fillId="0" borderId="25" xfId="3" applyNumberFormat="1" applyFont="1" applyBorder="1" applyAlignment="1" applyProtection="1">
      <alignment horizontal="right"/>
      <protection hidden="1"/>
    </xf>
    <xf numFmtId="164" fontId="16" fillId="0" borderId="26" xfId="3" applyNumberFormat="1" applyFont="1" applyBorder="1" applyProtection="1">
      <protection hidden="1"/>
    </xf>
    <xf numFmtId="0" fontId="16" fillId="0" borderId="27" xfId="4" applyFont="1" applyBorder="1" applyProtection="1"/>
    <xf numFmtId="0" fontId="19" fillId="0" borderId="0" xfId="4" applyBorder="1" applyProtection="1"/>
    <xf numFmtId="0" fontId="38" fillId="0" borderId="0" xfId="0" applyFont="1"/>
    <xf numFmtId="11" fontId="15" fillId="0" borderId="0" xfId="0" applyNumberFormat="1" applyFont="1"/>
    <xf numFmtId="2" fontId="39" fillId="0" borderId="0" xfId="0" applyNumberFormat="1" applyFont="1"/>
    <xf numFmtId="2" fontId="15" fillId="0" borderId="0" xfId="0" applyNumberFormat="1" applyFont="1"/>
    <xf numFmtId="0" fontId="37" fillId="0" borderId="0" xfId="44" applyFont="1" applyAlignment="1">
      <alignment horizontal="left"/>
    </xf>
    <xf numFmtId="0" fontId="1" fillId="0" borderId="0" xfId="44"/>
    <xf numFmtId="0" fontId="1" fillId="0" borderId="2" xfId="44" applyBorder="1"/>
    <xf numFmtId="0" fontId="1" fillId="8" borderId="2" xfId="44" applyFill="1" applyBorder="1"/>
    <xf numFmtId="0" fontId="1" fillId="8" borderId="0" xfId="44" applyFill="1"/>
    <xf numFmtId="0" fontId="1" fillId="0" borderId="0" xfId="44" applyBorder="1"/>
    <xf numFmtId="0" fontId="37" fillId="0" borderId="0" xfId="44" applyFont="1"/>
    <xf numFmtId="165" fontId="1" fillId="0" borderId="0" xfId="44" applyNumberFormat="1"/>
    <xf numFmtId="0" fontId="0" fillId="0" borderId="2" xfId="0" quotePrefix="1" applyBorder="1"/>
    <xf numFmtId="0" fontId="0" fillId="0" borderId="2" xfId="0" applyFill="1" applyBorder="1" applyAlignment="1">
      <alignment horizontal="left"/>
    </xf>
    <xf numFmtId="0" fontId="0" fillId="8" borderId="30" xfId="0" applyNumberFormat="1" applyFill="1" applyBorder="1"/>
    <xf numFmtId="2" fontId="0" fillId="0" borderId="20" xfId="0" applyNumberFormat="1" applyBorder="1"/>
    <xf numFmtId="0" fontId="0" fillId="9" borderId="0" xfId="0" applyFill="1"/>
    <xf numFmtId="12" fontId="17" fillId="0" borderId="23" xfId="3" applyNumberFormat="1" applyFont="1" applyBorder="1" applyAlignment="1" applyProtection="1">
      <alignment horizontal="center"/>
      <protection hidden="1"/>
    </xf>
    <xf numFmtId="0" fontId="17" fillId="0" borderId="24" xfId="3" applyFont="1" applyBorder="1" applyAlignment="1" applyProtection="1">
      <alignment horizontal="center"/>
      <protection hidden="1"/>
    </xf>
    <xf numFmtId="0" fontId="18" fillId="0" borderId="31" xfId="3" applyFont="1" applyBorder="1" applyAlignment="1" applyProtection="1">
      <alignment horizontal="center"/>
      <protection hidden="1"/>
    </xf>
    <xf numFmtId="0" fontId="0" fillId="0" borderId="3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8" borderId="31" xfId="0" applyNumberFormat="1" applyFill="1" applyBorder="1"/>
    <xf numFmtId="1" fontId="0" fillId="0" borderId="0" xfId="0" applyNumberFormat="1" applyBorder="1"/>
    <xf numFmtId="0" fontId="0" fillId="10" borderId="0" xfId="0" applyFill="1"/>
    <xf numFmtId="0" fontId="17" fillId="0" borderId="33" xfId="3" applyFont="1" applyBorder="1" applyAlignment="1" applyProtection="1">
      <alignment horizontal="right"/>
      <protection hidden="1"/>
    </xf>
    <xf numFmtId="0" fontId="17" fillId="0" borderId="34" xfId="3" applyFont="1" applyBorder="1" applyAlignment="1" applyProtection="1">
      <alignment horizontal="center"/>
      <protection hidden="1"/>
    </xf>
    <xf numFmtId="0" fontId="18" fillId="0" borderId="35" xfId="3" applyFont="1" applyBorder="1" applyAlignment="1" applyProtection="1">
      <alignment horizontal="center"/>
      <protection hidden="1"/>
    </xf>
    <xf numFmtId="12" fontId="17" fillId="0" borderId="0" xfId="3" applyNumberFormat="1" applyFont="1" applyBorder="1" applyAlignment="1" applyProtection="1">
      <alignment horizontal="center"/>
      <protection hidden="1"/>
    </xf>
    <xf numFmtId="165" fontId="16" fillId="0" borderId="19" xfId="3" applyNumberFormat="1" applyFont="1" applyFill="1" applyBorder="1" applyAlignment="1" applyProtection="1">
      <alignment horizontal="center" vertical="center"/>
      <protection hidden="1"/>
    </xf>
    <xf numFmtId="165" fontId="16" fillId="0" borderId="19" xfId="3" applyNumberFormat="1" applyFont="1" applyFill="1" applyBorder="1" applyAlignment="1" applyProtection="1">
      <alignment horizontal="left" vertical="center"/>
      <protection hidden="1"/>
    </xf>
    <xf numFmtId="0" fontId="16" fillId="0" borderId="0" xfId="3" quotePrefix="1" applyNumberFormat="1" applyFont="1" applyBorder="1" applyAlignment="1" applyProtection="1">
      <alignment horizontal="right"/>
      <protection hidden="1"/>
    </xf>
    <xf numFmtId="0" fontId="0" fillId="0" borderId="36" xfId="0" applyBorder="1"/>
    <xf numFmtId="0" fontId="0" fillId="11" borderId="0" xfId="0" applyFill="1"/>
    <xf numFmtId="182" fontId="13" fillId="0" borderId="0" xfId="0" applyNumberFormat="1" applyFont="1" applyBorder="1" applyAlignment="1">
      <alignment horizontal="left" vertical="center"/>
    </xf>
    <xf numFmtId="182" fontId="13" fillId="0" borderId="0" xfId="0" applyNumberFormat="1" applyFont="1" applyBorder="1" applyAlignment="1">
      <alignment vertical="center"/>
    </xf>
    <xf numFmtId="14" fontId="0" fillId="0" borderId="0" xfId="0" applyNumberFormat="1" applyBorder="1" applyAlignment="1">
      <alignment horizontal="left" vertical="center"/>
    </xf>
    <xf numFmtId="0" fontId="0" fillId="8" borderId="0" xfId="0" applyFill="1"/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7" fillId="0" borderId="0" xfId="44" applyFont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</cellXfs>
  <cellStyles count="45">
    <cellStyle name="args.style" xfId="5"/>
    <cellStyle name="ARIAL" xfId="6"/>
    <cellStyle name="Arial10" xfId="7"/>
    <cellStyle name="Calc Currency (0)" xfId="8"/>
    <cellStyle name="Comma" xfId="1" builtinId="3"/>
    <cellStyle name="Comma 2" xfId="9"/>
    <cellStyle name="Copied" xfId="10"/>
    <cellStyle name="COST1" xfId="11"/>
    <cellStyle name="Dollars" xfId="12"/>
    <cellStyle name="Dollars(0)" xfId="13"/>
    <cellStyle name="Entered" xfId="14"/>
    <cellStyle name="FORM" xfId="15"/>
    <cellStyle name="Grey" xfId="16"/>
    <cellStyle name="Header1" xfId="17"/>
    <cellStyle name="Header2" xfId="18"/>
    <cellStyle name="header3" xfId="19"/>
    <cellStyle name="Heading 4" xfId="2" builtinId="19"/>
    <cellStyle name="Hyperlink 2" xfId="20"/>
    <cellStyle name="Hyperlink 2 2" xfId="21"/>
    <cellStyle name="Input [yellow]" xfId="22"/>
    <cellStyle name="Input Cells" xfId="23"/>
    <cellStyle name="Linked Cells" xfId="24"/>
    <cellStyle name="Milliers [0]_!!!GO" xfId="25"/>
    <cellStyle name="Milliers_!!!GO" xfId="26"/>
    <cellStyle name="Monétaire [0]_!!!GO" xfId="27"/>
    <cellStyle name="Monétaire_!!!GO" xfId="28"/>
    <cellStyle name="Normal" xfId="0" builtinId="0"/>
    <cellStyle name="Normal - Style1" xfId="29"/>
    <cellStyle name="Normal 2" xfId="4"/>
    <cellStyle name="Normal 2 2" xfId="30"/>
    <cellStyle name="Normal 3" xfId="31"/>
    <cellStyle name="Normal 3 2" xfId="32"/>
    <cellStyle name="Normal 4" xfId="33"/>
    <cellStyle name="Normal 5" xfId="43"/>
    <cellStyle name="Normal 6" xfId="44"/>
    <cellStyle name="Normal_Master-PipeSpan-Stress-Defl" xfId="3"/>
    <cellStyle name="Œ…‹æØ‚è [0.00]_Region Orders (2)" xfId="34"/>
    <cellStyle name="Œ…‹æØ‚è_Region Orders (2)" xfId="35"/>
    <cellStyle name="per.style" xfId="36"/>
    <cellStyle name="Percent [2]" xfId="37"/>
    <cellStyle name="pricing" xfId="38"/>
    <cellStyle name="PSChar" xfId="39"/>
    <cellStyle name="RevList" xfId="40"/>
    <cellStyle name="STANDARD" xfId="41"/>
    <cellStyle name="Subtotal" xfId="42"/>
  </cellStyles>
  <dxfs count="7">
    <dxf>
      <font>
        <color theme="1"/>
      </font>
      <fill>
        <patternFill>
          <bgColor rgb="FFFFFF99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ont>
        <color theme="1"/>
      </font>
    </dxf>
    <dxf>
      <font>
        <color theme="1"/>
      </font>
      <fill>
        <patternFill>
          <bgColor rgb="FFFFFF99"/>
        </patternFill>
      </fill>
    </dxf>
    <dxf>
      <font>
        <color rgb="FFFF0000"/>
        <name val="Cambria"/>
        <scheme val="none"/>
      </font>
      <fill>
        <patternFill>
          <bgColor rgb="FFFFFF99"/>
        </patternFill>
      </fill>
    </dxf>
    <dxf>
      <font>
        <color rgb="FFFF0000"/>
        <name val="Cambria"/>
        <scheme val="none"/>
      </font>
      <fill>
        <patternFill>
          <bgColor rgb="FFFFFF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2"/>
            <c:dispRSqr val="1"/>
            <c:dispEq val="1"/>
            <c:trendlineLbl>
              <c:numFmt formatCode="General" sourceLinked="0"/>
            </c:trendlineLbl>
          </c:trendline>
          <c:xVal>
            <c:numRef>
              <c:f>k!$J$2:$J$5</c:f>
              <c:numCache>
                <c:formatCode>General</c:formatCode>
                <c:ptCount val="4"/>
                <c:pt idx="0">
                  <c:v>2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</c:numCache>
            </c:numRef>
          </c:xVal>
          <c:yVal>
            <c:numRef>
              <c:f>k!$K$2:$K$5</c:f>
              <c:numCache>
                <c:formatCode>General</c:formatCode>
                <c:ptCount val="4"/>
                <c:pt idx="0">
                  <c:v>1.0645454545454547</c:v>
                </c:pt>
                <c:pt idx="1">
                  <c:v>1.1509090909090909</c:v>
                </c:pt>
                <c:pt idx="2">
                  <c:v>1.95</c:v>
                </c:pt>
                <c:pt idx="3">
                  <c:v>2.95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64416"/>
        <c:axId val="28389376"/>
      </c:scatterChart>
      <c:valAx>
        <c:axId val="28764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389376"/>
        <c:crosses val="autoZero"/>
        <c:crossBetween val="midCat"/>
      </c:valAx>
      <c:valAx>
        <c:axId val="28389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7644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358140</xdr:colOff>
      <xdr:row>22</xdr:row>
      <xdr:rowOff>7620</xdr:rowOff>
    </xdr:from>
    <xdr:to>
      <xdr:col>11</xdr:col>
      <xdr:colOff>579120</xdr:colOff>
      <xdr:row>25</xdr:row>
      <xdr:rowOff>160020</xdr:rowOff>
    </xdr:to>
    <xdr:pic>
      <xdr:nvPicPr>
        <xdr:cNvPr id="1113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905500"/>
          <a:ext cx="380238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0</xdr:colOff>
      <xdr:row>25</xdr:row>
      <xdr:rowOff>0</xdr:rowOff>
    </xdr:from>
    <xdr:to>
      <xdr:col>18</xdr:col>
      <xdr:colOff>152400</xdr:colOff>
      <xdr:row>26</xdr:row>
      <xdr:rowOff>68580</xdr:rowOff>
    </xdr:to>
    <xdr:pic>
      <xdr:nvPicPr>
        <xdr:cNvPr id="111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42960" y="59055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30</xdr:col>
      <xdr:colOff>358140</xdr:colOff>
      <xdr:row>22</xdr:row>
      <xdr:rowOff>7620</xdr:rowOff>
    </xdr:from>
    <xdr:to>
      <xdr:col>37</xdr:col>
      <xdr:colOff>579120</xdr:colOff>
      <xdr:row>25</xdr:row>
      <xdr:rowOff>160020</xdr:rowOff>
    </xdr:to>
    <xdr:pic>
      <xdr:nvPicPr>
        <xdr:cNvPr id="4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9140" y="6062799"/>
          <a:ext cx="4929051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39</xdr:col>
      <xdr:colOff>0</xdr:colOff>
      <xdr:row>25</xdr:row>
      <xdr:rowOff>0</xdr:rowOff>
    </xdr:from>
    <xdr:to>
      <xdr:col>44</xdr:col>
      <xdr:colOff>152400</xdr:colOff>
      <xdr:row>26</xdr:row>
      <xdr:rowOff>68580</xdr:rowOff>
    </xdr:to>
    <xdr:pic>
      <xdr:nvPicPr>
        <xdr:cNvPr id="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69286" y="6626679"/>
          <a:ext cx="3077935" cy="2590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374624</xdr:colOff>
      <xdr:row>37</xdr:row>
      <xdr:rowOff>42796</xdr:rowOff>
    </xdr:from>
    <xdr:ext cx="1957628" cy="436786"/>
    <xdr:sp macro="" textlink="">
      <xdr:nvSpPr>
        <xdr:cNvPr id="2" name="TextBox 1"/>
        <xdr:cNvSpPr txBox="1"/>
      </xdr:nvSpPr>
      <xdr:spPr>
        <a:xfrm>
          <a:off x="3136874" y="6034021"/>
          <a:ext cx="1957628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L</a:t>
          </a:r>
          <a:r>
            <a:rPr lang="en-US" sz="1100" i="0">
              <a:latin typeface="Cambria Math"/>
            </a:rPr>
            <a:t>=</a:t>
          </a:r>
          <a:r>
            <a:rPr lang="en-US" sz="1100"/>
            <a:t>√(3ED</a:t>
          </a:r>
          <a:r>
            <a:rPr lang="el-GR" sz="1100"/>
            <a:t>Δ</a:t>
          </a:r>
          <a:r>
            <a:rPr lang="en-US" sz="1100"/>
            <a:t>/S)   </a:t>
          </a:r>
          <a:br>
            <a:rPr lang="en-US" sz="1100"/>
          </a:br>
          <a:r>
            <a:rPr lang="en-US" sz="700"/>
            <a:t>(Formula</a:t>
          </a:r>
          <a:r>
            <a:rPr lang="en-US" sz="700" baseline="0"/>
            <a:t> 3.4a from Pipe Stress Engineering)</a:t>
          </a:r>
          <a:endParaRPr lang="en-US" sz="7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381000</xdr:colOff>
      <xdr:row>6</xdr:row>
      <xdr:rowOff>22860</xdr:rowOff>
    </xdr:from>
    <xdr:to>
      <xdr:col>13</xdr:col>
      <xdr:colOff>76200</xdr:colOff>
      <xdr:row>21</xdr:row>
      <xdr:rowOff>22860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</xdr:colOff>
          <xdr:row>2</xdr:row>
          <xdr:rowOff>137160</xdr:rowOff>
        </xdr:from>
        <xdr:to>
          <xdr:col>3</xdr:col>
          <xdr:colOff>594360</xdr:colOff>
          <xdr:row>4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Open the Template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le_chk"/>
  <dimension ref="A1:AW50"/>
  <sheetViews>
    <sheetView showGridLines="0" topLeftCell="Z1" zoomScale="85" zoomScaleNormal="85" workbookViewId="0">
      <selection activeCell="AL20" sqref="AL20"/>
    </sheetView>
  </sheetViews>
  <sheetFormatPr defaultRowHeight="14.4"/>
  <cols>
    <col min="2" max="2" width="24.44140625" customWidth="1"/>
    <col min="3" max="3" width="13.6640625" customWidth="1"/>
    <col min="4" max="4" width="15.44140625" customWidth="1"/>
    <col min="6" max="6" width="12.6640625" style="9" customWidth="1"/>
    <col min="7" max="7" width="15.33203125" customWidth="1"/>
    <col min="8" max="8" width="10.88671875" style="9" bestFit="1" customWidth="1"/>
    <col min="9" max="9" width="2.109375" style="9" customWidth="1"/>
    <col min="10" max="10" width="12.88671875" customWidth="1"/>
    <col min="11" max="11" width="9.5546875" customWidth="1"/>
    <col min="12" max="26" width="8.88671875" customWidth="1"/>
    <col min="28" max="28" width="22.109375" customWidth="1"/>
    <col min="29" max="29" width="12.109375" customWidth="1"/>
    <col min="31" max="31" width="11.5546875" customWidth="1"/>
    <col min="32" max="32" width="11.6640625" customWidth="1"/>
    <col min="35" max="35" width="10.88671875" bestFit="1" customWidth="1"/>
    <col min="36" max="36" width="11.6640625" customWidth="1"/>
  </cols>
  <sheetData>
    <row r="1" spans="1:49" ht="39" customHeight="1">
      <c r="A1" s="100" t="s">
        <v>101</v>
      </c>
      <c r="B1" s="101"/>
      <c r="C1" s="101"/>
      <c r="D1" s="101"/>
      <c r="E1" s="101"/>
      <c r="F1" s="101"/>
      <c r="G1" s="101"/>
      <c r="H1" s="101"/>
      <c r="I1" s="101"/>
      <c r="J1" s="102"/>
      <c r="AA1" s="100" t="s">
        <v>102</v>
      </c>
      <c r="AB1" s="101"/>
      <c r="AC1" s="101"/>
      <c r="AD1" s="101"/>
      <c r="AE1" s="101"/>
      <c r="AF1" s="101"/>
      <c r="AG1" s="101"/>
      <c r="AH1" s="101"/>
      <c r="AI1" s="101"/>
      <c r="AJ1" s="102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</row>
    <row r="2" spans="1:49" s="9" customFormat="1" ht="18.600000000000001" customHeight="1">
      <c r="A2" s="20"/>
      <c r="B2" s="21"/>
      <c r="C2" s="21"/>
      <c r="D2" s="21"/>
      <c r="E2" s="21"/>
      <c r="F2" s="21"/>
      <c r="G2" s="40" t="s">
        <v>100</v>
      </c>
      <c r="H2" s="96">
        <f ca="1">TODAY()</f>
        <v>42712</v>
      </c>
      <c r="I2" s="96">
        <f ca="1">TODAY()</f>
        <v>42712</v>
      </c>
      <c r="J2" s="13"/>
      <c r="AA2" s="20"/>
      <c r="AB2" s="21"/>
      <c r="AC2" s="21"/>
      <c r="AD2" s="21"/>
      <c r="AE2" s="21"/>
      <c r="AF2" s="21"/>
      <c r="AG2" s="21"/>
      <c r="AH2" s="40" t="s">
        <v>100</v>
      </c>
      <c r="AI2" s="97">
        <f ca="1">TODAY()</f>
        <v>42712</v>
      </c>
      <c r="AJ2" s="13"/>
    </row>
    <row r="3" spans="1:49" ht="22.95" customHeight="1">
      <c r="A3" s="12"/>
      <c r="B3" s="23" t="s">
        <v>3</v>
      </c>
      <c r="C3" s="24" t="s">
        <v>0</v>
      </c>
      <c r="D3" s="10"/>
      <c r="E3" s="10"/>
      <c r="F3" s="10"/>
      <c r="G3" s="10"/>
      <c r="H3" s="10"/>
      <c r="I3" s="10"/>
      <c r="J3" s="13"/>
      <c r="K3">
        <f>IF(OR(C3="CS"),66,IF(OR(C3="SS",C3="DSS"),71,IF(C3="Cu-Ni",75,IF(C3="INCONEL",60,""))))</f>
        <v>66</v>
      </c>
      <c r="AA3" s="12"/>
      <c r="AB3" s="23" t="s">
        <v>3</v>
      </c>
      <c r="AC3" s="24" t="s">
        <v>0</v>
      </c>
      <c r="AD3" s="10"/>
      <c r="AE3" s="10"/>
      <c r="AF3" s="10"/>
      <c r="AG3" s="10"/>
      <c r="AH3" s="10"/>
      <c r="AI3" s="10"/>
      <c r="AJ3" s="13"/>
      <c r="AK3" s="9">
        <f>IF(OR(AC3="CS"),66,IF(OR(AC3="SS",AC3="DSS"),71,IF(AC3="Cu-Ni",75,IF(AC3="INCONEL",60,""))))</f>
        <v>66</v>
      </c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ht="22.95" customHeight="1">
      <c r="A4" s="12"/>
      <c r="B4" s="23" t="s">
        <v>4</v>
      </c>
      <c r="C4" s="24">
        <v>168.27500000000001</v>
      </c>
      <c r="D4" s="10"/>
      <c r="E4" s="10"/>
      <c r="F4" s="10"/>
      <c r="G4" s="10"/>
      <c r="H4" s="10"/>
      <c r="I4" s="10"/>
      <c r="J4" s="13"/>
      <c r="AA4" s="12"/>
      <c r="AB4" s="23" t="s">
        <v>4</v>
      </c>
      <c r="AC4" s="24">
        <v>168.27500000000001</v>
      </c>
      <c r="AD4" s="10"/>
      <c r="AE4" s="10"/>
      <c r="AF4" s="10"/>
      <c r="AG4" s="10"/>
      <c r="AH4" s="10"/>
      <c r="AI4" s="98"/>
      <c r="AJ4" s="13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9" customFormat="1" ht="33.6" customHeight="1">
      <c r="A5" s="12"/>
      <c r="B5" s="25" t="s">
        <v>32</v>
      </c>
      <c r="C5" s="33">
        <v>60000</v>
      </c>
      <c r="D5" s="10"/>
      <c r="E5" s="10"/>
      <c r="F5" s="10"/>
      <c r="G5" s="10"/>
      <c r="H5" s="10"/>
      <c r="I5" s="10"/>
      <c r="J5" s="13"/>
      <c r="AA5" s="12"/>
      <c r="AB5" s="25" t="s">
        <v>32</v>
      </c>
      <c r="AC5" s="33">
        <v>0</v>
      </c>
      <c r="AD5" s="10"/>
      <c r="AE5" s="10"/>
      <c r="AF5" s="10"/>
      <c r="AG5" s="10"/>
      <c r="AH5" s="10"/>
      <c r="AI5" s="10"/>
      <c r="AJ5" s="13"/>
    </row>
    <row r="6" spans="1:49" s="9" customFormat="1" ht="22.95" customHeight="1">
      <c r="A6" s="12"/>
      <c r="B6" s="35" t="s">
        <v>5</v>
      </c>
      <c r="C6" s="26" t="s">
        <v>6</v>
      </c>
      <c r="D6" s="10"/>
      <c r="E6" s="10"/>
      <c r="F6" s="10"/>
      <c r="G6" s="10"/>
      <c r="H6" s="10"/>
      <c r="I6" s="10"/>
      <c r="J6" s="13"/>
      <c r="AA6" s="12"/>
      <c r="AB6" s="35" t="s">
        <v>5</v>
      </c>
      <c r="AC6" s="26" t="s">
        <v>6</v>
      </c>
      <c r="AD6" s="10"/>
      <c r="AE6" s="10"/>
      <c r="AF6" s="10"/>
      <c r="AG6" s="10"/>
      <c r="AH6" s="10"/>
      <c r="AI6" s="10"/>
      <c r="AJ6" s="13"/>
    </row>
    <row r="7" spans="1:49" ht="45.6" customHeight="1">
      <c r="A7" s="12"/>
      <c r="B7" s="25" t="s">
        <v>10</v>
      </c>
      <c r="C7" s="26">
        <f ca="1">IF(C6="Stress", (C5/1000)*(ABS(F7)+ABS(J7)), (C5/1000)*(ABS(F7)))</f>
        <v>139.51957156767284</v>
      </c>
      <c r="D7" s="11" t="s">
        <v>36</v>
      </c>
      <c r="E7" s="32">
        <v>200</v>
      </c>
      <c r="F7" s="38">
        <f ca="1">E38</f>
        <v>2.3253261927945474</v>
      </c>
      <c r="G7" s="11" t="s">
        <v>35</v>
      </c>
      <c r="H7" s="18">
        <v>0</v>
      </c>
      <c r="I7" s="10"/>
      <c r="J7" s="36">
        <f>IF(VALUE(H7)&lt;&gt;0,F38,0)</f>
        <v>0</v>
      </c>
      <c r="T7" t="s">
        <v>0</v>
      </c>
      <c r="U7" s="9">
        <v>1</v>
      </c>
      <c r="AA7" s="12"/>
      <c r="AB7" s="25" t="s">
        <v>10</v>
      </c>
      <c r="AC7" s="26">
        <v>189.51957156767284</v>
      </c>
      <c r="AD7" s="11" t="s">
        <v>36</v>
      </c>
      <c r="AE7" s="32">
        <v>200</v>
      </c>
      <c r="AF7" s="38">
        <f ca="1">AE38</f>
        <v>2.3253261927945474</v>
      </c>
      <c r="AG7" s="11" t="s">
        <v>35</v>
      </c>
      <c r="AH7" s="18">
        <v>0</v>
      </c>
      <c r="AI7" s="10"/>
      <c r="AJ7" s="36">
        <f>IF(VALUE(AH7)&lt;&gt;0,AF38,0)</f>
        <v>0</v>
      </c>
      <c r="AK7" s="9"/>
      <c r="AL7" s="9"/>
      <c r="AM7" s="9"/>
      <c r="AN7" s="2">
        <f>+AO7+AP7</f>
        <v>6.2219182083739053</v>
      </c>
      <c r="AO7" s="9">
        <v>4.2219182083739053</v>
      </c>
      <c r="AP7" s="9">
        <f>ABS(AQ7)</f>
        <v>2</v>
      </c>
      <c r="AQ7" s="9">
        <v>2</v>
      </c>
      <c r="AR7" s="9"/>
      <c r="AS7" s="9"/>
      <c r="AT7" s="9" t="s">
        <v>0</v>
      </c>
      <c r="AU7" s="9">
        <v>1</v>
      </c>
      <c r="AV7" s="9"/>
      <c r="AW7" s="9"/>
    </row>
    <row r="8" spans="1:49" ht="15" customHeight="1">
      <c r="A8" s="12"/>
      <c r="F8"/>
      <c r="H8"/>
      <c r="I8"/>
      <c r="J8" s="37"/>
      <c r="T8" s="9" t="s">
        <v>1</v>
      </c>
      <c r="U8" s="9">
        <v>2</v>
      </c>
      <c r="AA8" s="12"/>
      <c r="AB8" s="9"/>
      <c r="AC8" s="9"/>
      <c r="AD8" s="9"/>
      <c r="AE8" s="9"/>
      <c r="AF8" s="9"/>
      <c r="AG8" s="9"/>
      <c r="AH8" s="9"/>
      <c r="AI8" s="9"/>
      <c r="AJ8" s="37"/>
      <c r="AK8" s="9"/>
      <c r="AL8" s="9"/>
      <c r="AM8" s="9"/>
      <c r="AN8" s="2">
        <f t="shared" ref="AN8:AN9" si="0">+AO8+AP8</f>
        <v>12</v>
      </c>
      <c r="AO8" s="9">
        <f t="shared" ref="AO8:AP9" si="1">ABS(AP8)</f>
        <v>6</v>
      </c>
      <c r="AP8" s="9">
        <f t="shared" si="1"/>
        <v>6</v>
      </c>
      <c r="AQ8" s="9">
        <v>6</v>
      </c>
      <c r="AR8" s="9"/>
      <c r="AS8" s="9"/>
      <c r="AT8" s="9" t="s">
        <v>1</v>
      </c>
      <c r="AU8" s="9">
        <v>2</v>
      </c>
      <c r="AV8" s="9"/>
      <c r="AW8" s="9"/>
    </row>
    <row r="9" spans="1:49" ht="34.950000000000003" customHeight="1" thickBot="1">
      <c r="A9" s="12"/>
      <c r="B9" s="25" t="s">
        <v>29</v>
      </c>
      <c r="C9" s="24" t="s">
        <v>91</v>
      </c>
      <c r="D9" s="11" t="s">
        <v>30</v>
      </c>
      <c r="E9" s="18">
        <v>9.59</v>
      </c>
      <c r="F9" s="10"/>
      <c r="G9" s="11" t="s">
        <v>31</v>
      </c>
      <c r="H9" s="18">
        <v>1</v>
      </c>
      <c r="I9" s="11"/>
      <c r="J9" s="13"/>
      <c r="K9" s="6">
        <f>IF(C9&lt;&gt;"Yes",1,E9/H9)</f>
        <v>1</v>
      </c>
      <c r="T9" s="9" t="s">
        <v>2</v>
      </c>
      <c r="U9" s="9">
        <v>3</v>
      </c>
      <c r="AA9" s="12"/>
      <c r="AB9" s="25" t="s">
        <v>29</v>
      </c>
      <c r="AC9" s="24" t="s">
        <v>91</v>
      </c>
      <c r="AD9" s="11" t="s">
        <v>30</v>
      </c>
      <c r="AE9" s="18">
        <v>0</v>
      </c>
      <c r="AF9" s="10"/>
      <c r="AG9" s="11" t="s">
        <v>31</v>
      </c>
      <c r="AH9" s="18">
        <v>0</v>
      </c>
      <c r="AI9" s="11"/>
      <c r="AJ9" s="13"/>
      <c r="AK9" s="6">
        <f>IF(AC9&lt;&gt;"Yes",1,AE9/AH9)</f>
        <v>1</v>
      </c>
      <c r="AL9" s="9"/>
      <c r="AM9" s="9"/>
      <c r="AN9" s="2">
        <f t="shared" si="0"/>
        <v>14.036530347289842</v>
      </c>
      <c r="AO9" s="9">
        <v>7.0365303472898422</v>
      </c>
      <c r="AP9" s="9">
        <f t="shared" si="1"/>
        <v>7</v>
      </c>
      <c r="AQ9" s="9">
        <v>7</v>
      </c>
      <c r="AR9" s="9"/>
      <c r="AS9" s="9"/>
      <c r="AT9" s="9" t="s">
        <v>2</v>
      </c>
      <c r="AU9" s="9">
        <v>3</v>
      </c>
      <c r="AV9" s="9"/>
      <c r="AW9" s="9"/>
    </row>
    <row r="10" spans="1:49" ht="22.95" customHeight="1" thickBot="1">
      <c r="A10" s="12"/>
      <c r="B10" s="23" t="s">
        <v>8</v>
      </c>
      <c r="C10" s="27">
        <v>2</v>
      </c>
      <c r="D10" s="10"/>
      <c r="E10" s="10"/>
      <c r="F10" s="10"/>
      <c r="G10" s="10"/>
      <c r="H10" s="10"/>
      <c r="I10" s="10"/>
      <c r="J10" s="13"/>
      <c r="T10" s="9" t="s">
        <v>9</v>
      </c>
      <c r="U10" s="9">
        <v>4</v>
      </c>
      <c r="AA10" s="12"/>
      <c r="AB10" s="23" t="s">
        <v>8</v>
      </c>
      <c r="AC10" s="27">
        <v>1</v>
      </c>
      <c r="AD10" s="10"/>
      <c r="AE10" s="10"/>
      <c r="AF10" s="10"/>
      <c r="AG10" s="10"/>
      <c r="AH10" s="10"/>
      <c r="AI10" s="10"/>
      <c r="AJ10" s="13"/>
      <c r="AK10" s="9"/>
      <c r="AL10" s="9"/>
      <c r="AM10" s="9"/>
      <c r="AN10" s="94">
        <f>SQRT(POWER(AN7,2)+POWER(AN8,2)+POWER(AN9,2))</f>
        <v>19.486827612058445</v>
      </c>
      <c r="AO10" s="9"/>
      <c r="AP10" s="9"/>
      <c r="AQ10" s="9"/>
      <c r="AR10" s="9"/>
      <c r="AS10" s="9"/>
      <c r="AT10" s="9" t="s">
        <v>9</v>
      </c>
      <c r="AU10" s="9">
        <v>4</v>
      </c>
      <c r="AV10" s="9"/>
      <c r="AW10" s="9"/>
    </row>
    <row r="11" spans="1:49" ht="45.75" customHeight="1">
      <c r="A11" s="12"/>
      <c r="B11" s="28" t="s">
        <v>7</v>
      </c>
      <c r="C11" s="24" t="s">
        <v>91</v>
      </c>
      <c r="D11" s="11" t="s">
        <v>25</v>
      </c>
      <c r="E11" s="18">
        <v>60.325000000000003</v>
      </c>
      <c r="F11" s="10"/>
      <c r="G11" s="10"/>
      <c r="H11" s="10"/>
      <c r="I11" s="10"/>
      <c r="J11" s="13"/>
      <c r="K11" s="6"/>
      <c r="L11" t="s">
        <v>11</v>
      </c>
      <c r="M11" s="5"/>
      <c r="T11" t="s">
        <v>34</v>
      </c>
      <c r="U11">
        <v>5</v>
      </c>
      <c r="AA11" s="12"/>
      <c r="AB11" s="28" t="s">
        <v>7</v>
      </c>
      <c r="AC11" s="24" t="s">
        <v>91</v>
      </c>
      <c r="AD11" s="11" t="s">
        <v>25</v>
      </c>
      <c r="AE11" s="18">
        <v>168.27500000000001</v>
      </c>
      <c r="AF11" s="10"/>
      <c r="AG11" s="10"/>
      <c r="AH11" s="10"/>
      <c r="AI11" s="10"/>
      <c r="AJ11" s="13"/>
      <c r="AK11" s="6"/>
      <c r="AL11" s="9" t="s">
        <v>11</v>
      </c>
      <c r="AM11" s="5"/>
      <c r="AN11" s="9"/>
      <c r="AO11" s="9"/>
      <c r="AP11" s="9"/>
      <c r="AQ11" s="9"/>
      <c r="AR11" s="9"/>
      <c r="AS11" s="9"/>
      <c r="AT11" s="9" t="s">
        <v>34</v>
      </c>
      <c r="AU11" s="9">
        <v>5</v>
      </c>
      <c r="AV11" s="9"/>
      <c r="AW11" s="9"/>
    </row>
    <row r="12" spans="1:49" ht="16.5" customHeight="1">
      <c r="A12" s="12"/>
      <c r="B12" s="4"/>
      <c r="C12" s="4"/>
      <c r="F12" s="10"/>
      <c r="G12" s="10"/>
      <c r="H12" s="10"/>
      <c r="I12" s="10"/>
      <c r="J12" s="13"/>
      <c r="K12" s="6">
        <f>IF(C11&lt;&gt;"Yes",1,C4/E11)</f>
        <v>1</v>
      </c>
      <c r="AA12" s="12"/>
      <c r="AB12" s="4"/>
      <c r="AC12" s="4"/>
      <c r="AD12" s="9"/>
      <c r="AE12" s="9"/>
      <c r="AF12" s="10"/>
      <c r="AG12" s="10"/>
      <c r="AH12" s="10"/>
      <c r="AI12" s="10"/>
      <c r="AJ12" s="13"/>
      <c r="AK12" s="6">
        <f>IF(AC11&lt;&gt;"Yes",1,AC4/AE11)</f>
        <v>1</v>
      </c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ht="13.95" customHeight="1">
      <c r="A13" s="12" t="s">
        <v>28</v>
      </c>
      <c r="B13" s="4"/>
      <c r="C13" s="4"/>
      <c r="D13" s="4"/>
      <c r="E13" s="4"/>
      <c r="F13" s="10"/>
      <c r="G13" s="4"/>
      <c r="H13" s="4"/>
      <c r="I13" s="4"/>
      <c r="J13" s="14"/>
      <c r="AA13" s="12" t="s">
        <v>28</v>
      </c>
      <c r="AB13" s="4"/>
      <c r="AC13" s="4"/>
      <c r="AD13" s="4"/>
      <c r="AE13" s="4"/>
      <c r="AF13" s="10"/>
      <c r="AG13" s="4"/>
      <c r="AH13" s="4"/>
      <c r="AI13" s="4"/>
      <c r="AJ13" s="14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9" customFormat="1" ht="7.2" customHeight="1">
      <c r="A14" s="12"/>
      <c r="B14" s="4"/>
      <c r="C14" s="4"/>
      <c r="D14" s="4"/>
      <c r="E14" s="4"/>
      <c r="F14" s="10"/>
      <c r="G14" s="4"/>
      <c r="H14" s="4"/>
      <c r="I14" s="4"/>
      <c r="J14" s="14"/>
      <c r="AA14" s="12"/>
      <c r="AB14" s="4"/>
      <c r="AC14" s="4"/>
      <c r="AD14" s="4"/>
      <c r="AE14" s="4"/>
      <c r="AF14" s="10"/>
      <c r="AG14" s="4"/>
      <c r="AH14" s="4"/>
      <c r="AI14" s="4"/>
      <c r="AJ14" s="14"/>
    </row>
    <row r="15" spans="1:49" s="9" customFormat="1" ht="69.75" customHeight="1">
      <c r="A15" s="12"/>
      <c r="B15" s="39" t="s">
        <v>27</v>
      </c>
      <c r="C15" s="41">
        <f ca="1">K3*SQRT(C4*C7)</f>
        <v>10112.797294743748</v>
      </c>
      <c r="D15" s="85">
        <f ca="1">IFERROR(result,0)</f>
        <v>10112.797294743748</v>
      </c>
      <c r="E15" s="85">
        <v>0</v>
      </c>
      <c r="F15" s="4"/>
      <c r="G15" s="4"/>
      <c r="H15" s="4"/>
      <c r="I15" s="4"/>
      <c r="J15" s="14"/>
      <c r="P15" s="9">
        <v>10172.059534995251</v>
      </c>
      <c r="AA15" s="12"/>
      <c r="AB15" s="39" t="s">
        <v>27</v>
      </c>
      <c r="AC15" s="41">
        <f>AK3*SQRT(AC4*AC7)</f>
        <v>11786.388934893354</v>
      </c>
      <c r="AD15" s="85">
        <f>IFERROR(result_def,0)</f>
        <v>11786.388934893354</v>
      </c>
      <c r="AE15" s="85">
        <v>0</v>
      </c>
      <c r="AF15" s="4"/>
      <c r="AG15" s="4"/>
      <c r="AH15" s="4"/>
      <c r="AI15" s="4"/>
      <c r="AJ15" s="14"/>
      <c r="AK15" s="9">
        <v>139.51957156767284</v>
      </c>
      <c r="AL15" s="9" t="s">
        <v>103</v>
      </c>
    </row>
    <row r="16" spans="1:49" ht="4.95" customHeight="1">
      <c r="A16" s="12"/>
      <c r="B16" s="22"/>
      <c r="C16" s="34"/>
      <c r="D16" s="4"/>
      <c r="E16" s="4"/>
      <c r="F16" s="4"/>
      <c r="G16" s="4"/>
      <c r="H16" s="4"/>
      <c r="I16" s="4"/>
      <c r="J16" s="14"/>
      <c r="AA16" s="12"/>
      <c r="AB16" s="22"/>
      <c r="AC16" s="34"/>
      <c r="AD16" s="4"/>
      <c r="AE16" s="4"/>
      <c r="AF16" s="4"/>
      <c r="AG16" s="4"/>
      <c r="AH16" s="4"/>
      <c r="AI16" s="4"/>
      <c r="AJ16" s="14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ht="6.6" customHeight="1">
      <c r="A17" s="12"/>
      <c r="B17" s="4"/>
      <c r="C17" s="4"/>
      <c r="D17" s="4"/>
      <c r="E17" s="4"/>
      <c r="F17" s="4"/>
      <c r="G17" s="4"/>
      <c r="H17" s="4"/>
      <c r="I17" s="4"/>
      <c r="J17" s="14"/>
      <c r="AA17" s="12"/>
      <c r="AB17" s="4"/>
      <c r="AC17" s="4"/>
      <c r="AD17" s="4"/>
      <c r="AE17" s="4"/>
      <c r="AF17" s="4"/>
      <c r="AG17" s="4"/>
      <c r="AH17" s="4"/>
      <c r="AI17" s="4"/>
      <c r="AJ17" s="14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ht="6.6" customHeight="1" thickBot="1">
      <c r="A18" s="15"/>
      <c r="B18" s="16"/>
      <c r="C18" s="16"/>
      <c r="D18" s="16"/>
      <c r="E18" s="16"/>
      <c r="F18" s="16"/>
      <c r="G18" s="16"/>
      <c r="H18" s="16"/>
      <c r="I18" s="16"/>
      <c r="J18" s="17"/>
      <c r="AA18" s="15"/>
      <c r="AB18" s="16"/>
      <c r="AC18" s="16"/>
      <c r="AD18" s="16"/>
      <c r="AE18" s="16"/>
      <c r="AF18" s="16"/>
      <c r="AG18" s="16"/>
      <c r="AH18" s="16"/>
      <c r="AI18" s="16"/>
      <c r="AJ18" s="17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</row>
    <row r="20" spans="1:49">
      <c r="B20" s="1"/>
      <c r="D20" s="85"/>
      <c r="AA20" s="9"/>
      <c r="AB20" s="1"/>
      <c r="AC20" s="9"/>
      <c r="AD20" s="85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</row>
    <row r="21" spans="1:49"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</row>
    <row r="22" spans="1:49"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</row>
    <row r="23" spans="1:49"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</row>
    <row r="24" spans="1:49"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</row>
    <row r="25" spans="1:49"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</row>
    <row r="26" spans="1:49"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</row>
    <row r="27" spans="1:49"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</row>
    <row r="28" spans="1:49" ht="14.4" customHeight="1">
      <c r="B28" s="2" t="s">
        <v>3</v>
      </c>
      <c r="C28" s="8" t="s">
        <v>12</v>
      </c>
      <c r="D28" s="8" t="s">
        <v>13</v>
      </c>
      <c r="E28" s="8" t="s">
        <v>14</v>
      </c>
      <c r="F28" s="8"/>
      <c r="G28" s="8">
        <v>20</v>
      </c>
      <c r="H28" s="8"/>
      <c r="I28" s="8"/>
      <c r="J28" s="8">
        <v>50</v>
      </c>
      <c r="K28" s="8">
        <v>75</v>
      </c>
      <c r="L28" s="8">
        <v>100</v>
      </c>
      <c r="M28" s="8">
        <v>125</v>
      </c>
      <c r="N28" s="8">
        <v>150</v>
      </c>
      <c r="O28" s="8">
        <v>175</v>
      </c>
      <c r="P28" s="8">
        <v>200</v>
      </c>
      <c r="Q28" s="8">
        <v>225</v>
      </c>
      <c r="R28" s="8">
        <v>250</v>
      </c>
      <c r="S28" s="8">
        <v>275</v>
      </c>
      <c r="AA28" s="9"/>
      <c r="AB28" s="2" t="s">
        <v>3</v>
      </c>
      <c r="AC28" s="8" t="s">
        <v>12</v>
      </c>
      <c r="AD28" s="8" t="s">
        <v>13</v>
      </c>
      <c r="AE28" s="8" t="s">
        <v>14</v>
      </c>
      <c r="AF28" s="8"/>
      <c r="AG28" s="8">
        <v>20</v>
      </c>
      <c r="AH28" s="8"/>
      <c r="AI28" s="8"/>
      <c r="AJ28" s="8">
        <v>50</v>
      </c>
      <c r="AK28" s="8">
        <v>75</v>
      </c>
      <c r="AL28" s="8">
        <v>100</v>
      </c>
      <c r="AM28" s="8">
        <v>125</v>
      </c>
      <c r="AN28" s="8">
        <v>150</v>
      </c>
      <c r="AO28" s="8">
        <v>175</v>
      </c>
      <c r="AP28" s="8">
        <v>200</v>
      </c>
      <c r="AQ28" s="8">
        <v>225</v>
      </c>
      <c r="AR28" s="8">
        <v>250</v>
      </c>
      <c r="AS28" s="8">
        <v>275</v>
      </c>
      <c r="AT28" s="9"/>
    </row>
    <row r="29" spans="1:49" ht="14.4" customHeight="1">
      <c r="B29" s="2" t="s">
        <v>0</v>
      </c>
      <c r="C29" s="8" t="s">
        <v>15</v>
      </c>
      <c r="D29" s="8" t="s">
        <v>16</v>
      </c>
      <c r="E29" s="8" t="s">
        <v>17</v>
      </c>
      <c r="F29" s="8"/>
      <c r="G29" s="8">
        <v>0</v>
      </c>
      <c r="H29" s="8"/>
      <c r="I29" s="8"/>
      <c r="J29" s="8">
        <v>0.4</v>
      </c>
      <c r="K29" s="8">
        <v>0.7</v>
      </c>
      <c r="L29" s="8">
        <v>1</v>
      </c>
      <c r="M29" s="8">
        <v>1.3</v>
      </c>
      <c r="N29" s="8">
        <v>1.6</v>
      </c>
      <c r="O29" s="8">
        <v>2</v>
      </c>
      <c r="P29" s="8">
        <v>2.2999999999999998</v>
      </c>
      <c r="Q29" s="8">
        <v>2.6</v>
      </c>
      <c r="R29" s="8">
        <v>3</v>
      </c>
      <c r="S29" s="2">
        <v>3.4</v>
      </c>
      <c r="AA29" s="9"/>
      <c r="AB29" s="2" t="s">
        <v>0</v>
      </c>
      <c r="AC29" s="8" t="s">
        <v>15</v>
      </c>
      <c r="AD29" s="8" t="s">
        <v>16</v>
      </c>
      <c r="AE29" s="8" t="s">
        <v>17</v>
      </c>
      <c r="AF29" s="8"/>
      <c r="AG29" s="8">
        <v>0</v>
      </c>
      <c r="AH29" s="8"/>
      <c r="AI29" s="8"/>
      <c r="AJ29" s="8">
        <v>0.4</v>
      </c>
      <c r="AK29" s="8">
        <v>0.7</v>
      </c>
      <c r="AL29" s="8">
        <v>1</v>
      </c>
      <c r="AM29" s="8">
        <v>1.3</v>
      </c>
      <c r="AN29" s="8">
        <v>1.6</v>
      </c>
      <c r="AO29" s="8">
        <v>2</v>
      </c>
      <c r="AP29" s="8">
        <v>2.2999999999999998</v>
      </c>
      <c r="AQ29" s="8">
        <v>2.6</v>
      </c>
      <c r="AR29" s="8">
        <v>3</v>
      </c>
      <c r="AS29" s="2">
        <v>3.4</v>
      </c>
      <c r="AT29" s="9"/>
    </row>
    <row r="30" spans="1:49" ht="14.4" customHeight="1">
      <c r="B30" s="2" t="s">
        <v>1</v>
      </c>
      <c r="C30" s="8" t="s">
        <v>18</v>
      </c>
      <c r="D30" s="8" t="s">
        <v>19</v>
      </c>
      <c r="E30" s="8" t="s">
        <v>20</v>
      </c>
      <c r="F30" s="8"/>
      <c r="G30" s="8">
        <v>0</v>
      </c>
      <c r="H30" s="8"/>
      <c r="I30" s="8"/>
      <c r="J30" s="8">
        <v>0.5</v>
      </c>
      <c r="K30" s="8">
        <v>0.9</v>
      </c>
      <c r="L30" s="8">
        <v>1.3</v>
      </c>
      <c r="M30" s="8">
        <v>1.7</v>
      </c>
      <c r="N30" s="8">
        <v>2.2000000000000002</v>
      </c>
      <c r="O30" s="8">
        <v>2.6</v>
      </c>
      <c r="P30" s="8">
        <v>3.1</v>
      </c>
      <c r="Q30" s="8">
        <v>3.5</v>
      </c>
      <c r="R30" s="8">
        <v>4</v>
      </c>
      <c r="S30" s="2">
        <v>4.5</v>
      </c>
      <c r="AA30" s="9"/>
      <c r="AB30" s="2" t="s">
        <v>1</v>
      </c>
      <c r="AC30" s="8" t="s">
        <v>18</v>
      </c>
      <c r="AD30" s="8" t="s">
        <v>19</v>
      </c>
      <c r="AE30" s="8" t="s">
        <v>20</v>
      </c>
      <c r="AF30" s="8"/>
      <c r="AG30" s="8">
        <v>0</v>
      </c>
      <c r="AH30" s="8"/>
      <c r="AI30" s="8"/>
      <c r="AJ30" s="8">
        <v>0.5</v>
      </c>
      <c r="AK30" s="8">
        <v>0.9</v>
      </c>
      <c r="AL30" s="8">
        <v>1.3</v>
      </c>
      <c r="AM30" s="8">
        <v>1.7</v>
      </c>
      <c r="AN30" s="8">
        <v>2.2000000000000002</v>
      </c>
      <c r="AO30" s="8">
        <v>2.6</v>
      </c>
      <c r="AP30" s="8">
        <v>3.1</v>
      </c>
      <c r="AQ30" s="8">
        <v>3.5</v>
      </c>
      <c r="AR30" s="8">
        <v>4</v>
      </c>
      <c r="AS30" s="2">
        <v>4.5</v>
      </c>
      <c r="AT30" s="9"/>
    </row>
    <row r="31" spans="1:49" ht="14.4" customHeight="1">
      <c r="B31" s="2" t="s">
        <v>2</v>
      </c>
      <c r="C31" s="31" t="s">
        <v>21</v>
      </c>
      <c r="D31" s="8" t="s">
        <v>21</v>
      </c>
      <c r="E31" s="8" t="s">
        <v>22</v>
      </c>
      <c r="F31" s="8"/>
      <c r="G31" s="8">
        <v>0</v>
      </c>
      <c r="H31" s="8"/>
      <c r="I31" s="8"/>
      <c r="J31" s="8">
        <v>0.4</v>
      </c>
      <c r="K31" s="8">
        <v>0.8</v>
      </c>
      <c r="L31" s="8">
        <v>1.1000000000000001</v>
      </c>
      <c r="M31" s="8">
        <v>1.5</v>
      </c>
      <c r="N31" s="8">
        <v>1.8</v>
      </c>
      <c r="O31" s="8">
        <v>2.2000000000000002</v>
      </c>
      <c r="P31" s="8">
        <v>2.6</v>
      </c>
      <c r="Q31" s="8">
        <v>3</v>
      </c>
      <c r="R31" s="8">
        <v>3.3</v>
      </c>
      <c r="S31" s="2">
        <v>3.7</v>
      </c>
      <c r="AA31" s="9"/>
      <c r="AB31" s="2" t="s">
        <v>2</v>
      </c>
      <c r="AC31" s="31" t="s">
        <v>21</v>
      </c>
      <c r="AD31" s="8" t="s">
        <v>21</v>
      </c>
      <c r="AE31" s="8" t="s">
        <v>22</v>
      </c>
      <c r="AF31" s="8"/>
      <c r="AG31" s="8">
        <v>0</v>
      </c>
      <c r="AH31" s="8"/>
      <c r="AI31" s="8"/>
      <c r="AJ31" s="8">
        <v>0.4</v>
      </c>
      <c r="AK31" s="8">
        <v>0.8</v>
      </c>
      <c r="AL31" s="8">
        <v>1.1000000000000001</v>
      </c>
      <c r="AM31" s="8">
        <v>1.5</v>
      </c>
      <c r="AN31" s="8">
        <v>1.8</v>
      </c>
      <c r="AO31" s="8">
        <v>2.2000000000000002</v>
      </c>
      <c r="AP31" s="8">
        <v>2.6</v>
      </c>
      <c r="AQ31" s="8">
        <v>3</v>
      </c>
      <c r="AR31" s="8">
        <v>3.3</v>
      </c>
      <c r="AS31" s="2">
        <v>3.7</v>
      </c>
      <c r="AT31" s="9"/>
    </row>
    <row r="32" spans="1:49" ht="14.4" customHeight="1">
      <c r="B32" s="3" t="s">
        <v>33</v>
      </c>
      <c r="C32" s="8" t="s">
        <v>23</v>
      </c>
      <c r="D32" s="8" t="s">
        <v>24</v>
      </c>
      <c r="E32" s="8" t="s">
        <v>20</v>
      </c>
      <c r="F32" s="8"/>
      <c r="G32" s="8">
        <v>0</v>
      </c>
      <c r="H32" s="8"/>
      <c r="I32" s="8"/>
      <c r="J32" s="8">
        <v>0.4</v>
      </c>
      <c r="K32" s="8">
        <v>0.8</v>
      </c>
      <c r="L32" s="8">
        <v>1.2</v>
      </c>
      <c r="M32" s="8">
        <v>1.6</v>
      </c>
      <c r="N32" s="8">
        <v>2</v>
      </c>
      <c r="O32" s="8">
        <v>2.5</v>
      </c>
      <c r="P32" s="8">
        <v>2.9</v>
      </c>
      <c r="Q32" s="8">
        <v>3.3</v>
      </c>
      <c r="R32" s="8">
        <v>3.7</v>
      </c>
      <c r="S32" s="2">
        <v>4.2</v>
      </c>
      <c r="AA32" s="9"/>
      <c r="AB32" s="3" t="s">
        <v>33</v>
      </c>
      <c r="AC32" s="8" t="s">
        <v>23</v>
      </c>
      <c r="AD32" s="8" t="s">
        <v>24</v>
      </c>
      <c r="AE32" s="8" t="s">
        <v>20</v>
      </c>
      <c r="AF32" s="8"/>
      <c r="AG32" s="8">
        <v>0</v>
      </c>
      <c r="AH32" s="8"/>
      <c r="AI32" s="8"/>
      <c r="AJ32" s="8">
        <v>0.4</v>
      </c>
      <c r="AK32" s="8">
        <v>0.8</v>
      </c>
      <c r="AL32" s="8">
        <v>1.2</v>
      </c>
      <c r="AM32" s="8">
        <v>1.6</v>
      </c>
      <c r="AN32" s="8">
        <v>2</v>
      </c>
      <c r="AO32" s="8">
        <v>2.5</v>
      </c>
      <c r="AP32" s="8">
        <v>2.9</v>
      </c>
      <c r="AQ32" s="8">
        <v>3.3</v>
      </c>
      <c r="AR32" s="8">
        <v>3.7</v>
      </c>
      <c r="AS32" s="2">
        <v>4.2</v>
      </c>
      <c r="AT32" s="9"/>
    </row>
    <row r="33" spans="1:46" ht="14.4" customHeight="1">
      <c r="B33" s="2" t="s">
        <v>34</v>
      </c>
      <c r="C33" s="74"/>
      <c r="D33" s="2"/>
      <c r="E33" s="2"/>
      <c r="F33" s="2"/>
      <c r="G33" s="75">
        <v>0</v>
      </c>
      <c r="H33" s="2"/>
      <c r="I33" s="2"/>
      <c r="J33" s="75">
        <v>0.4</v>
      </c>
      <c r="K33" s="75">
        <v>0.7</v>
      </c>
      <c r="L33" s="75">
        <v>1</v>
      </c>
      <c r="M33" s="75">
        <v>1.4</v>
      </c>
      <c r="N33" s="75">
        <v>1.7</v>
      </c>
      <c r="O33" s="75">
        <v>2</v>
      </c>
      <c r="P33" s="75">
        <v>2.4</v>
      </c>
      <c r="Q33" s="2"/>
      <c r="R33" s="2"/>
      <c r="S33" s="2"/>
      <c r="AA33" s="9"/>
      <c r="AB33" s="2" t="s">
        <v>34</v>
      </c>
      <c r="AC33" s="74"/>
      <c r="AD33" s="2"/>
      <c r="AE33" s="2"/>
      <c r="AF33" s="2"/>
      <c r="AG33" s="75">
        <v>0</v>
      </c>
      <c r="AH33" s="2"/>
      <c r="AI33" s="2"/>
      <c r="AJ33" s="75">
        <v>0.4</v>
      </c>
      <c r="AK33" s="75">
        <v>0.7</v>
      </c>
      <c r="AL33" s="75">
        <v>1</v>
      </c>
      <c r="AM33" s="75">
        <v>1.4</v>
      </c>
      <c r="AN33" s="75">
        <v>1.7</v>
      </c>
      <c r="AO33" s="75">
        <v>2</v>
      </c>
      <c r="AP33" s="75">
        <v>2.4</v>
      </c>
      <c r="AQ33" s="2"/>
      <c r="AR33" s="2"/>
      <c r="AS33" s="2"/>
      <c r="AT33" s="9"/>
    </row>
    <row r="34" spans="1:46"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</row>
    <row r="35" spans="1:46"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</row>
    <row r="36" spans="1:46"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</row>
    <row r="37" spans="1:46">
      <c r="C37" s="31" t="s">
        <v>39</v>
      </c>
      <c r="D37" s="31" t="s">
        <v>40</v>
      </c>
      <c r="E37" s="8" t="s">
        <v>37</v>
      </c>
      <c r="F37" s="8" t="s">
        <v>38</v>
      </c>
      <c r="G37" s="9"/>
      <c r="H37"/>
      <c r="J37" s="9"/>
      <c r="AA37" s="9"/>
      <c r="AB37" s="9"/>
      <c r="AC37" s="31" t="s">
        <v>39</v>
      </c>
      <c r="AD37" s="31" t="s">
        <v>40</v>
      </c>
      <c r="AE37" s="8" t="s">
        <v>37</v>
      </c>
      <c r="AF37" s="8" t="s">
        <v>38</v>
      </c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</row>
    <row r="38" spans="1:46">
      <c r="C38" s="29">
        <f>E7</f>
        <v>200</v>
      </c>
      <c r="D38" s="29">
        <f>H7</f>
        <v>0</v>
      </c>
      <c r="E38" s="30">
        <f ca="1">IF(C3="DSS",FORECAST(E7,G31:S31,G28:S28),FORECAST(C38,OFFSET($C$28:$S$28,VLOOKUP(C3,T7:U11,2,FALSE),0),$C$28:$S$28))</f>
        <v>2.3253261927945474</v>
      </c>
      <c r="F38">
        <f ca="1">IF(C3="DSS",FORECAST(E7,G31:S31,G28:S28),FORECAST(D38,OFFSET($C$28:$S$28,VLOOKUP(C3,T7:U11,2,FALSE),0),$C$28:$S$28))</f>
        <v>-0.2975884453099642</v>
      </c>
      <c r="G38" s="9"/>
      <c r="H38"/>
      <c r="J38" s="9"/>
      <c r="AA38" s="9"/>
      <c r="AB38" s="9"/>
      <c r="AC38" s="29">
        <f>AE7</f>
        <v>200</v>
      </c>
      <c r="AD38" s="29">
        <f>AH7</f>
        <v>0</v>
      </c>
      <c r="AE38" s="30">
        <f ca="1">IF(AC3="DSS",FORECAST(AE7,AG31:AS31,AG28:AS28),FORECAST(AC38,OFFSET($C$28:$S$28,VLOOKUP(AC3,AT7:AU11,2,FALSE),0),$C$28:$S$28))</f>
        <v>2.3253261927945474</v>
      </c>
      <c r="AF38" s="9">
        <f ca="1">IF(AC3="DSS",FORECAST(AE7,AG31:AS31,AG28:AS28),FORECAST(AD38,OFFSET($C$28:$S$28,VLOOKUP(AC3,AT7:AU11,2,FALSE),0),$C$28:$S$28))</f>
        <v>-0.2975884453099642</v>
      </c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</row>
    <row r="39" spans="1:46">
      <c r="C39" s="7"/>
      <c r="D39" s="7"/>
      <c r="E39" s="30"/>
      <c r="AA39" s="9"/>
      <c r="AB39" s="9"/>
      <c r="AC39" s="9"/>
      <c r="AD39" s="9"/>
      <c r="AE39" s="30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</row>
    <row r="40" spans="1:46"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</row>
    <row r="41" spans="1:46"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</row>
    <row r="42" spans="1:46"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</row>
    <row r="43" spans="1:46"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</row>
    <row r="45" spans="1:46" ht="15.6">
      <c r="A45" s="19" t="s">
        <v>26</v>
      </c>
    </row>
    <row r="47" spans="1:46" ht="40.950000000000003" customHeight="1"/>
    <row r="50" ht="35.4" customHeight="1"/>
  </sheetData>
  <mergeCells count="2">
    <mergeCell ref="A1:J1"/>
    <mergeCell ref="AA1:AJ1"/>
  </mergeCells>
  <conditionalFormatting sqref="H9 E9 AH9 AE9">
    <cfRule type="expression" dxfId="6" priority="21">
      <formula>$C$9="YES"</formula>
    </cfRule>
  </conditionalFormatting>
  <conditionalFormatting sqref="E11 AE11">
    <cfRule type="expression" dxfId="5" priority="20">
      <formula>$C$11="YES"</formula>
    </cfRule>
  </conditionalFormatting>
  <conditionalFormatting sqref="E7 AE7">
    <cfRule type="expression" dxfId="4" priority="18">
      <formula>LEN($C$5)&gt;0</formula>
    </cfRule>
  </conditionalFormatting>
  <conditionalFormatting sqref="F7 J7 AF7 AJ7">
    <cfRule type="expression" dxfId="3" priority="17">
      <formula>$C$5&lt;&gt;""</formula>
    </cfRule>
  </conditionalFormatting>
  <conditionalFormatting sqref="C6:C7 AC6:AC7">
    <cfRule type="expression" dxfId="2" priority="16">
      <formula>AND(LEN($C$5)&lt;&gt;0,IsFormula($C$7)=TRUE)</formula>
    </cfRule>
  </conditionalFormatting>
  <conditionalFormatting sqref="C5 AC5">
    <cfRule type="expression" dxfId="1" priority="15">
      <formula>LEN($C$5)=0</formula>
    </cfRule>
  </conditionalFormatting>
  <conditionalFormatting sqref="H7 AH7">
    <cfRule type="expression" dxfId="0" priority="13">
      <formula>$C$6="Stress"</formula>
    </cfRule>
  </conditionalFormatting>
  <dataValidations count="4">
    <dataValidation type="list" allowBlank="1" showInputMessage="1" showErrorMessage="1" sqref="D10:F10 AD10:AF10">
      <formula1>"0,1,2,3,,4,5,6"</formula1>
    </dataValidation>
    <dataValidation type="list" allowBlank="1" showInputMessage="1" showErrorMessage="1" sqref="C9 C11 AC9 AC11">
      <formula1>"Yes, No"</formula1>
    </dataValidation>
    <dataValidation type="list" allowBlank="1" showInputMessage="1" showErrorMessage="1" sqref="C3 AC3">
      <formula1>$T$7:$T$11</formula1>
    </dataValidation>
    <dataValidation type="list" allowBlank="1" showInputMessage="1" showErrorMessage="1" sqref="C10 AC10">
      <formula1>"0,1,2,3"</formula1>
    </dataValidation>
  </dataValidations>
  <pageMargins left="0.7" right="0.7" top="0.75" bottom="0.75" header="0.3" footer="0.3"/>
  <pageSetup paperSize="9" scale="95" orientation="landscape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C4:R50"/>
  <sheetViews>
    <sheetView topLeftCell="A19" zoomScale="115" zoomScaleNormal="115" workbookViewId="0">
      <selection activeCell="N50" sqref="N50"/>
    </sheetView>
  </sheetViews>
  <sheetFormatPr defaultColWidth="9.109375" defaultRowHeight="13.2"/>
  <cols>
    <col min="1" max="2" width="9.109375" style="67"/>
    <col min="3" max="3" width="7.44140625" style="67" bestFit="1" customWidth="1"/>
    <col min="4" max="4" width="15.6640625" style="67" bestFit="1" customWidth="1"/>
    <col min="5" max="16384" width="9.109375" style="67"/>
  </cols>
  <sheetData>
    <row r="4" spans="3:16">
      <c r="C4" s="103" t="s">
        <v>68</v>
      </c>
      <c r="D4" s="103"/>
      <c r="E4" s="103"/>
      <c r="F4" s="103"/>
      <c r="G4" s="103"/>
      <c r="H4" s="103"/>
      <c r="I4" s="103"/>
      <c r="J4" s="66"/>
      <c r="K4" s="67" t="s">
        <v>69</v>
      </c>
    </row>
    <row r="5" spans="3:16">
      <c r="C5" s="67" t="s">
        <v>70</v>
      </c>
      <c r="E5" s="67">
        <v>-73.3</v>
      </c>
      <c r="G5" s="67">
        <v>21.11</v>
      </c>
      <c r="I5" s="67">
        <v>93.33</v>
      </c>
      <c r="K5" s="67">
        <v>149</v>
      </c>
      <c r="M5" s="67">
        <v>204.44</v>
      </c>
    </row>
    <row r="6" spans="3:16">
      <c r="C6" s="67" t="s">
        <v>71</v>
      </c>
      <c r="E6" s="67">
        <v>-100</v>
      </c>
      <c r="G6" s="67">
        <v>70</v>
      </c>
      <c r="I6" s="67">
        <v>200</v>
      </c>
      <c r="K6" s="67">
        <v>300</v>
      </c>
      <c r="M6" s="67">
        <v>400</v>
      </c>
    </row>
    <row r="7" spans="3:16">
      <c r="C7" s="67" t="s">
        <v>0</v>
      </c>
      <c r="D7" s="67" t="s">
        <v>72</v>
      </c>
      <c r="E7" s="68">
        <v>30.2</v>
      </c>
      <c r="F7" s="69">
        <f>E7*6894.757</f>
        <v>208221.66139999998</v>
      </c>
      <c r="G7" s="68">
        <v>29.5</v>
      </c>
      <c r="H7" s="69">
        <f>G7*6894.757</f>
        <v>203395.3315</v>
      </c>
      <c r="I7" s="68">
        <v>28.8</v>
      </c>
      <c r="J7" s="69">
        <f>I7*6894.757</f>
        <v>198569.00159999999</v>
      </c>
      <c r="K7" s="68">
        <v>28.3</v>
      </c>
      <c r="L7" s="69">
        <f>K7*6894.757</f>
        <v>195121.6231</v>
      </c>
      <c r="M7" s="68">
        <v>27.7</v>
      </c>
      <c r="N7" s="69">
        <f>M7*6894.757</f>
        <v>190984.7689</v>
      </c>
    </row>
    <row r="8" spans="3:16">
      <c r="C8" s="67" t="s">
        <v>1</v>
      </c>
      <c r="D8" s="67" t="s">
        <v>73</v>
      </c>
      <c r="E8" s="68">
        <v>29</v>
      </c>
      <c r="F8" s="69">
        <f t="shared" ref="F8:F11" si="0">E8*6894.757</f>
        <v>199947.95299999998</v>
      </c>
      <c r="G8" s="68">
        <v>28.3</v>
      </c>
      <c r="H8" s="69">
        <f t="shared" ref="H8:H11" si="1">G8*6894.757</f>
        <v>195121.6231</v>
      </c>
      <c r="I8" s="68">
        <v>27.6</v>
      </c>
      <c r="J8" s="69">
        <f t="shared" ref="J8:J11" si="2">I8*6894.757</f>
        <v>190295.29319999999</v>
      </c>
      <c r="K8" s="68">
        <v>27</v>
      </c>
      <c r="L8" s="69">
        <f t="shared" ref="L8:L11" si="3">K8*6894.757</f>
        <v>186158.43899999998</v>
      </c>
      <c r="M8" s="68">
        <v>26.5</v>
      </c>
      <c r="N8" s="69">
        <f t="shared" ref="N8:N11" si="4">M8*6894.757</f>
        <v>182711.06049999999</v>
      </c>
    </row>
    <row r="9" spans="3:16">
      <c r="C9" s="67" t="s">
        <v>2</v>
      </c>
      <c r="E9" s="68"/>
      <c r="F9" s="69">
        <f t="shared" si="0"/>
        <v>0</v>
      </c>
      <c r="G9" s="68"/>
      <c r="H9" s="69">
        <f t="shared" si="1"/>
        <v>0</v>
      </c>
      <c r="I9" s="68"/>
      <c r="J9" s="69">
        <f t="shared" si="2"/>
        <v>0</v>
      </c>
      <c r="K9" s="68"/>
      <c r="L9" s="69">
        <f t="shared" si="3"/>
        <v>0</v>
      </c>
      <c r="M9" s="68"/>
      <c r="N9" s="69">
        <f t="shared" si="4"/>
        <v>0</v>
      </c>
    </row>
    <row r="10" spans="3:16">
      <c r="C10" s="67" t="s">
        <v>9</v>
      </c>
      <c r="D10" s="67" t="s">
        <v>74</v>
      </c>
      <c r="E10" s="68">
        <v>18.5</v>
      </c>
      <c r="F10" s="69">
        <f t="shared" si="0"/>
        <v>127553.0045</v>
      </c>
      <c r="G10" s="68">
        <v>18</v>
      </c>
      <c r="H10" s="69">
        <f t="shared" si="1"/>
        <v>124105.62599999999</v>
      </c>
      <c r="I10" s="68">
        <v>17.600000000000001</v>
      </c>
      <c r="J10" s="69">
        <f t="shared" si="2"/>
        <v>121347.72320000001</v>
      </c>
      <c r="K10" s="68">
        <v>17.3</v>
      </c>
      <c r="L10" s="69">
        <f t="shared" si="3"/>
        <v>119279.29609999999</v>
      </c>
      <c r="M10" s="68">
        <v>16.899999999999999</v>
      </c>
      <c r="N10" s="69">
        <f t="shared" si="4"/>
        <v>116521.39329999998</v>
      </c>
    </row>
    <row r="11" spans="3:16">
      <c r="C11" s="67" t="s">
        <v>75</v>
      </c>
      <c r="D11" s="67" t="s">
        <v>86</v>
      </c>
      <c r="E11" s="68">
        <v>30.9</v>
      </c>
      <c r="F11" s="69">
        <f t="shared" si="0"/>
        <v>213047.99129999997</v>
      </c>
      <c r="G11" s="68">
        <v>30</v>
      </c>
      <c r="H11" s="69">
        <f t="shared" si="1"/>
        <v>206842.71</v>
      </c>
      <c r="I11" s="68">
        <v>29.3</v>
      </c>
      <c r="J11" s="69">
        <f t="shared" si="2"/>
        <v>202016.38009999998</v>
      </c>
      <c r="K11" s="68">
        <v>28.8</v>
      </c>
      <c r="L11" s="69">
        <f t="shared" si="3"/>
        <v>198569.00159999999</v>
      </c>
      <c r="M11" s="68">
        <v>28.5</v>
      </c>
      <c r="N11" s="69">
        <f t="shared" si="4"/>
        <v>196500.57449999999</v>
      </c>
      <c r="P11" s="70" t="s">
        <v>76</v>
      </c>
    </row>
    <row r="13" spans="3:16">
      <c r="C13" s="103" t="s">
        <v>77</v>
      </c>
      <c r="D13" s="103"/>
      <c r="E13" s="103"/>
      <c r="F13" s="103"/>
      <c r="G13" s="103"/>
      <c r="H13" s="103"/>
      <c r="I13" s="103"/>
      <c r="J13" s="66"/>
      <c r="K13" s="67" t="s">
        <v>78</v>
      </c>
    </row>
    <row r="14" spans="3:16">
      <c r="C14" s="67" t="s">
        <v>70</v>
      </c>
      <c r="E14" s="67">
        <v>40</v>
      </c>
      <c r="G14" s="67">
        <v>65</v>
      </c>
      <c r="I14" s="67">
        <v>100</v>
      </c>
      <c r="K14" s="67">
        <v>125</v>
      </c>
      <c r="M14" s="67">
        <v>150</v>
      </c>
      <c r="O14" s="67">
        <v>175</v>
      </c>
      <c r="P14" s="67">
        <v>200</v>
      </c>
    </row>
    <row r="15" spans="3:16">
      <c r="C15" s="67" t="s">
        <v>0</v>
      </c>
      <c r="D15" s="67" t="s">
        <v>72</v>
      </c>
      <c r="E15" s="68">
        <v>138</v>
      </c>
      <c r="F15" s="68"/>
      <c r="G15" s="68">
        <v>138</v>
      </c>
      <c r="H15" s="68"/>
      <c r="I15" s="68">
        <v>138</v>
      </c>
      <c r="J15" s="68"/>
      <c r="K15" s="68">
        <v>138</v>
      </c>
      <c r="L15" s="68"/>
      <c r="M15" s="68">
        <v>138</v>
      </c>
      <c r="N15" s="68"/>
      <c r="O15" s="68">
        <v>138</v>
      </c>
      <c r="P15" s="68">
        <v>138</v>
      </c>
    </row>
    <row r="16" spans="3:16">
      <c r="C16" s="67" t="s">
        <v>1</v>
      </c>
      <c r="D16" s="67" t="s">
        <v>73</v>
      </c>
      <c r="E16" s="68">
        <v>115</v>
      </c>
      <c r="F16" s="68"/>
      <c r="G16" s="68">
        <v>115</v>
      </c>
      <c r="H16" s="68"/>
      <c r="I16" s="68">
        <v>115</v>
      </c>
      <c r="J16" s="68"/>
      <c r="K16" s="68">
        <v>115</v>
      </c>
      <c r="L16" s="68"/>
      <c r="M16" s="68">
        <v>115</v>
      </c>
      <c r="N16" s="68"/>
      <c r="O16" s="68">
        <v>113</v>
      </c>
      <c r="P16" s="68">
        <v>109</v>
      </c>
    </row>
    <row r="17" spans="3:18">
      <c r="C17" s="67" t="s">
        <v>2</v>
      </c>
      <c r="D17" s="67" t="s">
        <v>79</v>
      </c>
      <c r="E17" s="68">
        <v>207</v>
      </c>
      <c r="F17" s="68"/>
      <c r="G17" s="68">
        <v>207</v>
      </c>
      <c r="H17" s="68"/>
      <c r="I17" s="68">
        <v>207</v>
      </c>
      <c r="J17" s="68"/>
      <c r="K17" s="68">
        <v>204</v>
      </c>
      <c r="L17" s="68"/>
      <c r="M17" s="68">
        <v>199</v>
      </c>
      <c r="N17" s="68"/>
      <c r="O17" s="68">
        <v>196</v>
      </c>
      <c r="P17" s="68">
        <v>193</v>
      </c>
    </row>
    <row r="18" spans="3:18">
      <c r="C18" s="67" t="s">
        <v>9</v>
      </c>
      <c r="D18" s="67" t="s">
        <v>80</v>
      </c>
      <c r="E18" s="68">
        <v>68.900000000000006</v>
      </c>
      <c r="F18" s="68"/>
      <c r="G18" s="68">
        <v>67</v>
      </c>
      <c r="H18" s="68"/>
      <c r="I18" s="68">
        <v>65.099999999999994</v>
      </c>
      <c r="J18" s="68"/>
      <c r="K18" s="68">
        <v>63.7</v>
      </c>
      <c r="L18" s="68"/>
      <c r="M18" s="68">
        <v>62.4</v>
      </c>
      <c r="N18" s="68"/>
      <c r="O18" s="68">
        <v>61.1</v>
      </c>
      <c r="P18" s="68">
        <v>60</v>
      </c>
    </row>
    <row r="19" spans="3:18">
      <c r="C19" s="67" t="s">
        <v>75</v>
      </c>
      <c r="D19" s="67" t="s">
        <v>87</v>
      </c>
      <c r="E19" s="68">
        <v>184</v>
      </c>
      <c r="F19" s="68"/>
      <c r="G19" s="68">
        <v>175</v>
      </c>
      <c r="H19" s="68"/>
      <c r="I19" s="68">
        <v>169</v>
      </c>
      <c r="J19" s="68"/>
      <c r="K19" s="68">
        <v>165</v>
      </c>
      <c r="L19" s="68"/>
      <c r="M19" s="68">
        <v>161</v>
      </c>
      <c r="N19" s="68"/>
      <c r="O19" s="68">
        <v>158</v>
      </c>
      <c r="P19" s="68">
        <v>155</v>
      </c>
    </row>
    <row r="21" spans="3:18">
      <c r="C21" s="103" t="s">
        <v>81</v>
      </c>
      <c r="D21" s="103"/>
      <c r="E21" s="103"/>
      <c r="F21" s="103"/>
      <c r="G21" s="103"/>
      <c r="H21" s="103"/>
      <c r="I21" s="103"/>
      <c r="J21" s="66"/>
      <c r="K21" s="67" t="s">
        <v>82</v>
      </c>
    </row>
    <row r="22" spans="3:18">
      <c r="C22" s="67" t="s">
        <v>70</v>
      </c>
      <c r="E22" s="67">
        <v>20</v>
      </c>
      <c r="G22" s="67">
        <v>50</v>
      </c>
      <c r="I22" s="67">
        <v>75</v>
      </c>
      <c r="K22" s="67">
        <v>100</v>
      </c>
      <c r="M22" s="67">
        <v>125</v>
      </c>
      <c r="O22" s="67">
        <v>150</v>
      </c>
      <c r="P22" s="67">
        <v>175</v>
      </c>
      <c r="Q22" s="67">
        <v>200</v>
      </c>
    </row>
    <row r="23" spans="3:18">
      <c r="C23" s="67" t="s">
        <v>0</v>
      </c>
      <c r="D23" s="67" t="s">
        <v>83</v>
      </c>
      <c r="E23" s="68">
        <v>11.5</v>
      </c>
      <c r="F23" s="68"/>
      <c r="G23" s="68">
        <v>11.8</v>
      </c>
      <c r="H23" s="68"/>
      <c r="I23" s="68">
        <v>11.9</v>
      </c>
      <c r="J23" s="68"/>
      <c r="K23" s="68">
        <v>12.1</v>
      </c>
      <c r="L23" s="68"/>
      <c r="M23" s="68">
        <v>12.3</v>
      </c>
      <c r="N23" s="68"/>
      <c r="O23" s="68">
        <v>12.4</v>
      </c>
      <c r="P23" s="68">
        <v>12.6</v>
      </c>
      <c r="Q23" s="68">
        <v>12.7</v>
      </c>
    </row>
    <row r="24" spans="3:18">
      <c r="C24" s="67" t="s">
        <v>1</v>
      </c>
      <c r="D24" s="67" t="s">
        <v>73</v>
      </c>
      <c r="E24" s="68">
        <v>15.3</v>
      </c>
      <c r="F24" s="68"/>
      <c r="G24" s="68">
        <v>15.6</v>
      </c>
      <c r="H24" s="68"/>
      <c r="I24" s="68">
        <v>15.9</v>
      </c>
      <c r="J24" s="68"/>
      <c r="K24" s="68">
        <v>16.2</v>
      </c>
      <c r="L24" s="68"/>
      <c r="M24" s="68">
        <v>16.399999999999999</v>
      </c>
      <c r="N24" s="68"/>
      <c r="O24" s="68">
        <v>16.600000000000001</v>
      </c>
      <c r="P24" s="68">
        <v>16.8</v>
      </c>
      <c r="Q24" s="68">
        <v>17</v>
      </c>
    </row>
    <row r="25" spans="3:18">
      <c r="C25" s="67" t="s">
        <v>2</v>
      </c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</row>
    <row r="26" spans="3:18">
      <c r="C26" s="67" t="s">
        <v>9</v>
      </c>
      <c r="D26" s="67" t="s">
        <v>84</v>
      </c>
      <c r="E26" s="68">
        <v>14.5</v>
      </c>
      <c r="F26" s="68"/>
      <c r="G26" s="68">
        <v>14.9</v>
      </c>
      <c r="H26" s="68"/>
      <c r="I26" s="68">
        <v>15.2</v>
      </c>
      <c r="J26" s="68"/>
      <c r="K26" s="68">
        <v>15.3</v>
      </c>
      <c r="L26" s="68"/>
      <c r="M26" s="68">
        <v>15.5</v>
      </c>
      <c r="N26" s="68"/>
      <c r="O26" s="68">
        <v>15.7</v>
      </c>
      <c r="P26" s="68">
        <v>15.8</v>
      </c>
      <c r="Q26" s="68">
        <v>16</v>
      </c>
    </row>
    <row r="27" spans="3:18">
      <c r="C27" s="67" t="s">
        <v>75</v>
      </c>
      <c r="D27" s="67" t="s">
        <v>86</v>
      </c>
      <c r="E27" s="68">
        <v>12</v>
      </c>
      <c r="F27" s="68"/>
      <c r="G27" s="68">
        <v>12.4</v>
      </c>
      <c r="H27" s="68"/>
      <c r="I27" s="68">
        <v>12.6</v>
      </c>
      <c r="J27" s="68"/>
      <c r="K27" s="68">
        <v>12.8</v>
      </c>
      <c r="L27" s="68"/>
      <c r="M27" s="68">
        <v>12.8</v>
      </c>
      <c r="N27" s="68"/>
      <c r="O27" s="68">
        <v>13</v>
      </c>
      <c r="P27" s="68">
        <v>13.1</v>
      </c>
      <c r="Q27" s="68">
        <v>13.2</v>
      </c>
      <c r="R27" s="71"/>
    </row>
    <row r="29" spans="3:18">
      <c r="C29" s="103" t="s">
        <v>88</v>
      </c>
      <c r="D29" s="103"/>
      <c r="E29" s="103"/>
      <c r="F29" s="103"/>
      <c r="G29" s="103"/>
      <c r="H29" s="103"/>
      <c r="I29" s="103"/>
      <c r="J29" s="66"/>
      <c r="K29" s="67" t="s">
        <v>82</v>
      </c>
    </row>
    <row r="30" spans="3:18">
      <c r="C30" s="67" t="s">
        <v>70</v>
      </c>
      <c r="E30" s="67">
        <v>20</v>
      </c>
      <c r="G30" s="67">
        <v>50</v>
      </c>
      <c r="I30" s="67">
        <v>75</v>
      </c>
      <c r="K30" s="67">
        <v>100</v>
      </c>
      <c r="M30" s="67">
        <v>125</v>
      </c>
      <c r="O30" s="67">
        <v>150</v>
      </c>
      <c r="P30" s="67">
        <v>175</v>
      </c>
      <c r="Q30" s="67">
        <v>200</v>
      </c>
    </row>
    <row r="31" spans="3:18">
      <c r="C31" s="67" t="s">
        <v>0</v>
      </c>
      <c r="D31" s="67" t="s">
        <v>83</v>
      </c>
      <c r="E31" s="68">
        <v>0</v>
      </c>
      <c r="F31" s="68"/>
      <c r="G31" s="68">
        <v>0.4</v>
      </c>
      <c r="H31" s="68"/>
      <c r="I31" s="68">
        <v>0.7</v>
      </c>
      <c r="J31" s="68"/>
      <c r="K31" s="68">
        <v>1</v>
      </c>
      <c r="L31" s="68"/>
      <c r="M31" s="68">
        <v>1.3</v>
      </c>
      <c r="N31" s="68"/>
      <c r="O31" s="68">
        <v>1.6</v>
      </c>
      <c r="P31" s="68">
        <v>2</v>
      </c>
      <c r="Q31" s="68">
        <v>2.2999999999999998</v>
      </c>
    </row>
    <row r="32" spans="3:18">
      <c r="C32" s="67" t="s">
        <v>1</v>
      </c>
      <c r="D32" s="67" t="s">
        <v>73</v>
      </c>
      <c r="E32" s="68">
        <v>0</v>
      </c>
      <c r="F32" s="68"/>
      <c r="G32" s="68">
        <v>0.5</v>
      </c>
      <c r="H32" s="68"/>
      <c r="I32" s="68">
        <v>0.9</v>
      </c>
      <c r="J32" s="68"/>
      <c r="K32" s="68">
        <v>1.3</v>
      </c>
      <c r="L32" s="68"/>
      <c r="M32" s="68">
        <v>1.7</v>
      </c>
      <c r="N32" s="68"/>
      <c r="O32" s="68">
        <v>2.2000000000000002</v>
      </c>
      <c r="P32" s="68">
        <v>2.6</v>
      </c>
      <c r="Q32" s="68">
        <v>3.1</v>
      </c>
    </row>
    <row r="33" spans="3:18">
      <c r="C33" s="67" t="s">
        <v>2</v>
      </c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</row>
    <row r="34" spans="3:18">
      <c r="C34" s="67" t="s">
        <v>9</v>
      </c>
      <c r="D34" s="67" t="s">
        <v>84</v>
      </c>
      <c r="E34" s="68">
        <v>0</v>
      </c>
      <c r="F34" s="68"/>
      <c r="G34" s="68">
        <v>0.4</v>
      </c>
      <c r="H34" s="68"/>
      <c r="I34" s="68">
        <v>0.8</v>
      </c>
      <c r="J34" s="68"/>
      <c r="K34" s="68">
        <v>1.2</v>
      </c>
      <c r="L34" s="68"/>
      <c r="M34" s="68">
        <v>1.6</v>
      </c>
      <c r="N34" s="68"/>
      <c r="O34" s="68">
        <v>2</v>
      </c>
      <c r="P34" s="68">
        <v>2.5</v>
      </c>
      <c r="Q34" s="68">
        <v>2.9</v>
      </c>
    </row>
    <row r="35" spans="3:18">
      <c r="C35" s="67" t="s">
        <v>75</v>
      </c>
      <c r="D35" s="67" t="s">
        <v>86</v>
      </c>
      <c r="E35" s="68">
        <v>0</v>
      </c>
      <c r="F35" s="68"/>
      <c r="G35" s="68">
        <v>0.4</v>
      </c>
      <c r="H35" s="68"/>
      <c r="I35" s="68">
        <v>0.7</v>
      </c>
      <c r="J35" s="68"/>
      <c r="K35" s="68">
        <v>1</v>
      </c>
      <c r="L35" s="68"/>
      <c r="M35" s="68">
        <v>1.4</v>
      </c>
      <c r="N35" s="68"/>
      <c r="O35" s="68">
        <v>1.7</v>
      </c>
      <c r="P35" s="68">
        <v>2</v>
      </c>
      <c r="Q35" s="68">
        <v>2.4</v>
      </c>
      <c r="R35" s="71"/>
    </row>
    <row r="37" spans="3:18">
      <c r="C37" s="72" t="s">
        <v>85</v>
      </c>
    </row>
    <row r="38" spans="3:18">
      <c r="C38" s="67" t="s">
        <v>0</v>
      </c>
      <c r="D38" s="73" t="str">
        <f>SQRT(3*F7/E15)&amp;"√DΔ"</f>
        <v>67.279698695236√DΔ</v>
      </c>
    </row>
    <row r="39" spans="3:18">
      <c r="C39" s="67" t="s">
        <v>1</v>
      </c>
      <c r="D39" s="67" t="str">
        <f t="shared" ref="D39:D42" si="5">SQRT(3*F8/E16)&amp;"√DΔ"</f>
        <v>72.2221126561785√DΔ</v>
      </c>
    </row>
    <row r="40" spans="3:18">
      <c r="C40" s="67" t="s">
        <v>2</v>
      </c>
      <c r="D40" s="67" t="str">
        <f t="shared" si="5"/>
        <v>0√DΔ</v>
      </c>
    </row>
    <row r="41" spans="3:18">
      <c r="C41" s="67" t="s">
        <v>9</v>
      </c>
      <c r="D41" s="67" t="str">
        <f t="shared" si="5"/>
        <v>74.5240352905973√DΔ</v>
      </c>
    </row>
    <row r="42" spans="3:18">
      <c r="C42" s="67" t="s">
        <v>75</v>
      </c>
      <c r="D42" s="67" t="str">
        <f t="shared" si="5"/>
        <v>58.9373273384902√DΔ</v>
      </c>
    </row>
    <row r="44" spans="3:18">
      <c r="D44" s="72" t="s">
        <v>89</v>
      </c>
    </row>
    <row r="45" spans="3:18">
      <c r="F45" s="67" t="s">
        <v>90</v>
      </c>
      <c r="G45" s="67">
        <v>100</v>
      </c>
      <c r="H45" s="67">
        <v>150</v>
      </c>
      <c r="I45" s="67">
        <v>200</v>
      </c>
    </row>
    <row r="46" spans="3:18">
      <c r="E46" s="67" t="s">
        <v>0</v>
      </c>
      <c r="F46" s="68">
        <f>SQRT(3*H7/E15)</f>
        <v>66.495395639881323</v>
      </c>
      <c r="G46" s="68">
        <f>SQRT(3*J7/I15)</f>
        <v>65.701730769340898</v>
      </c>
      <c r="H46" s="68">
        <f>SQRT(3*L7/M15)</f>
        <v>65.12890614172322</v>
      </c>
      <c r="I46" s="68">
        <f>SQRT(3*N7/P15)</f>
        <v>64.434794964940437</v>
      </c>
    </row>
    <row r="47" spans="3:18">
      <c r="E47" s="67" t="s">
        <v>1</v>
      </c>
      <c r="F47" s="68">
        <f t="shared" ref="F47:F50" si="6">SQRT(3*H8/E16)</f>
        <v>71.345142078917107</v>
      </c>
      <c r="G47" s="68">
        <f t="shared" ref="G47:G50" si="7">SQRT(3*J8/I16)</f>
        <v>70.457256829939098</v>
      </c>
      <c r="H47" s="68">
        <f t="shared" ref="H47:H50" si="8">SQRT(3*L8/M16)</f>
        <v>69.687209044040685</v>
      </c>
      <c r="I47" s="68">
        <f t="shared" ref="I47:I50" si="9">SQRT(3*N8/P16)</f>
        <v>70.913643147166468</v>
      </c>
    </row>
    <row r="48" spans="3:18">
      <c r="E48" s="67" t="s">
        <v>2</v>
      </c>
      <c r="F48" s="68">
        <f t="shared" si="6"/>
        <v>0</v>
      </c>
      <c r="G48" s="68">
        <f t="shared" si="7"/>
        <v>0</v>
      </c>
      <c r="H48" s="68">
        <f t="shared" si="8"/>
        <v>0</v>
      </c>
      <c r="I48" s="68">
        <f t="shared" si="9"/>
        <v>0</v>
      </c>
    </row>
    <row r="49" spans="5:9">
      <c r="E49" s="67" t="s">
        <v>9</v>
      </c>
      <c r="F49" s="68">
        <f t="shared" si="6"/>
        <v>73.510055590097437</v>
      </c>
      <c r="G49" s="68">
        <f t="shared" si="7"/>
        <v>74.780084093015873</v>
      </c>
      <c r="H49" s="68">
        <f t="shared" si="8"/>
        <v>75.727019902206834</v>
      </c>
      <c r="I49" s="68">
        <f t="shared" si="9"/>
        <v>76.328694899100682</v>
      </c>
    </row>
    <row r="50" spans="5:9">
      <c r="E50" s="67" t="s">
        <v>75</v>
      </c>
      <c r="F50" s="68">
        <f t="shared" si="6"/>
        <v>58.072674203367235</v>
      </c>
      <c r="G50" s="68">
        <f t="shared" si="7"/>
        <v>59.883967700662289</v>
      </c>
      <c r="H50" s="68">
        <f t="shared" si="8"/>
        <v>60.827982936100504</v>
      </c>
      <c r="I50" s="68">
        <f t="shared" si="9"/>
        <v>61.670389376154027</v>
      </c>
    </row>
  </sheetData>
  <mergeCells count="4">
    <mergeCell ref="C4:I4"/>
    <mergeCell ref="C13:I13"/>
    <mergeCell ref="C21:I21"/>
    <mergeCell ref="C29:I29"/>
  </mergeCells>
  <pageMargins left="0.7" right="0.7" top="0.75" bottom="0.75" header="0.3" footer="0.3"/>
  <pageSetup paperSize="9" scale="83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"/>
  <sheetViews>
    <sheetView workbookViewId="0">
      <selection activeCell="D16" sqref="D16"/>
    </sheetView>
  </sheetViews>
  <sheetFormatPr defaultColWidth="8.88671875" defaultRowHeight="14.4"/>
  <cols>
    <col min="1" max="16384" width="8.88671875" style="9"/>
  </cols>
  <sheetData>
    <row r="1" spans="1:12">
      <c r="B1" s="9" t="s">
        <v>66</v>
      </c>
      <c r="C1" s="9" t="s">
        <v>67</v>
      </c>
    </row>
    <row r="2" spans="1:12">
      <c r="A2" s="9">
        <v>2</v>
      </c>
      <c r="B2" s="9">
        <v>11.71</v>
      </c>
      <c r="C2" s="9">
        <v>2.77</v>
      </c>
      <c r="D2" s="9">
        <f t="shared" ref="D2:E5" si="0">B3/B2</f>
        <v>1.0811272416737829</v>
      </c>
      <c r="E2" s="9">
        <f t="shared" si="0"/>
        <v>1.0541516245487363</v>
      </c>
      <c r="F2" s="9">
        <f>D2/E2</f>
        <v>1.025589883368623</v>
      </c>
      <c r="H2" s="9">
        <f>B2/11</f>
        <v>1.0645454545454547</v>
      </c>
      <c r="J2" s="9">
        <v>2</v>
      </c>
      <c r="K2" s="9">
        <v>1.0645454545454547</v>
      </c>
      <c r="L2" s="9">
        <f>0.0022*A2^2 - 0.002*A2 + 1.0279</f>
        <v>1.0327</v>
      </c>
    </row>
    <row r="3" spans="1:12">
      <c r="A3" s="9">
        <v>10</v>
      </c>
      <c r="B3" s="9">
        <v>12.66</v>
      </c>
      <c r="C3" s="9">
        <v>2.92</v>
      </c>
      <c r="D3" s="9">
        <f t="shared" si="0"/>
        <v>1.6943127962085307</v>
      </c>
      <c r="E3" s="9">
        <f t="shared" si="0"/>
        <v>1.421232876712329</v>
      </c>
      <c r="F3" s="9">
        <f t="shared" ref="F3:F4" si="1">D3/E3</f>
        <v>1.1921429795009419</v>
      </c>
      <c r="H3" s="9">
        <f t="shared" ref="H3:H5" si="2">B3/11</f>
        <v>1.1509090909090909</v>
      </c>
      <c r="J3" s="9">
        <v>10</v>
      </c>
      <c r="K3" s="9">
        <v>1.1509090909090909</v>
      </c>
      <c r="L3" s="9">
        <f t="shared" ref="L3:L5" si="3">0.0022*A3^2 - 0.002*A3 + 1.0279</f>
        <v>1.2279</v>
      </c>
    </row>
    <row r="4" spans="1:12">
      <c r="A4" s="9">
        <v>20</v>
      </c>
      <c r="B4" s="9">
        <v>21.45</v>
      </c>
      <c r="C4" s="9">
        <v>4.1500000000000004</v>
      </c>
      <c r="D4" s="9">
        <f t="shared" si="0"/>
        <v>1.512820512820513</v>
      </c>
      <c r="E4" s="9">
        <f t="shared" si="0"/>
        <v>1.3156626506024096</v>
      </c>
      <c r="F4" s="9">
        <f t="shared" si="1"/>
        <v>1.1498544190851885</v>
      </c>
      <c r="H4" s="9">
        <f t="shared" si="2"/>
        <v>1.95</v>
      </c>
      <c r="J4" s="9">
        <v>20</v>
      </c>
      <c r="K4" s="9">
        <v>1.95</v>
      </c>
      <c r="L4" s="9">
        <f t="shared" si="3"/>
        <v>1.8679000000000001</v>
      </c>
    </row>
    <row r="5" spans="1:12">
      <c r="A5" s="9">
        <v>30</v>
      </c>
      <c r="B5" s="9">
        <v>32.450000000000003</v>
      </c>
      <c r="C5" s="9">
        <v>5.46</v>
      </c>
      <c r="D5" s="9">
        <f t="shared" si="0"/>
        <v>0</v>
      </c>
      <c r="E5" s="9">
        <f t="shared" si="0"/>
        <v>0</v>
      </c>
      <c r="H5" s="9">
        <f t="shared" si="2"/>
        <v>2.95</v>
      </c>
      <c r="J5" s="9">
        <v>30</v>
      </c>
      <c r="K5" s="9">
        <v>2.95</v>
      </c>
      <c r="L5" s="9">
        <f t="shared" si="3"/>
        <v>2.9479000000000002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_thk"/>
  <dimension ref="A1:Z74"/>
  <sheetViews>
    <sheetView workbookViewId="0">
      <selection activeCell="X9" sqref="X9"/>
    </sheetView>
  </sheetViews>
  <sheetFormatPr defaultColWidth="8.88671875" defaultRowHeight="14.4"/>
  <cols>
    <col min="1" max="16" width="8.88671875" style="9"/>
    <col min="17" max="17" width="11.109375" style="9" bestFit="1" customWidth="1"/>
    <col min="18" max="16384" width="8.88671875" style="9"/>
  </cols>
  <sheetData>
    <row r="1" spans="1:26" ht="15" thickBot="1">
      <c r="A1" s="43" t="s">
        <v>60</v>
      </c>
      <c r="B1" s="44" t="s">
        <v>61</v>
      </c>
      <c r="C1" s="45">
        <v>40</v>
      </c>
      <c r="D1" s="45"/>
      <c r="E1" s="45" t="s">
        <v>62</v>
      </c>
      <c r="I1" s="45">
        <v>80</v>
      </c>
      <c r="J1" s="45" t="s">
        <v>63</v>
      </c>
      <c r="N1" s="104" t="s">
        <v>92</v>
      </c>
      <c r="O1" s="105"/>
      <c r="P1" s="106"/>
      <c r="Q1" s="9" t="s">
        <v>64</v>
      </c>
      <c r="R1" s="9" t="s">
        <v>65</v>
      </c>
      <c r="W1" s="76">
        <v>6</v>
      </c>
      <c r="X1" s="78">
        <v>6</v>
      </c>
      <c r="Y1" s="86">
        <v>40</v>
      </c>
      <c r="Z1" s="95">
        <v>0</v>
      </c>
    </row>
    <row r="2" spans="1:26" ht="15" thickTop="1">
      <c r="A2" s="79">
        <v>0</v>
      </c>
      <c r="B2" s="80">
        <v>0</v>
      </c>
      <c r="C2" s="81"/>
      <c r="D2" s="81"/>
      <c r="E2" s="81"/>
      <c r="I2" s="81"/>
      <c r="J2" s="81"/>
      <c r="N2" s="82"/>
      <c r="O2" s="83"/>
      <c r="P2" s="83"/>
      <c r="W2" s="84"/>
      <c r="X2" s="78"/>
      <c r="Y2" s="86"/>
      <c r="Z2" s="95"/>
    </row>
    <row r="3" spans="1:26">
      <c r="A3" s="46">
        <v>0.5</v>
      </c>
      <c r="B3" s="47">
        <v>21.335999999999999</v>
      </c>
      <c r="C3" s="48">
        <v>2.77</v>
      </c>
      <c r="D3" s="48"/>
      <c r="E3" s="48">
        <v>2.77</v>
      </c>
      <c r="F3" s="6">
        <f t="shared" ref="F3:F17" si="0">(E3)/(C3+1.5)</f>
        <v>0.64871194379391106</v>
      </c>
      <c r="I3" s="48">
        <v>3.73</v>
      </c>
      <c r="J3" s="48">
        <v>3.73</v>
      </c>
      <c r="L3" s="6">
        <f t="shared" ref="L3:L17" si="1">J3/(I3+1.5)</f>
        <v>0.71319311663479923</v>
      </c>
      <c r="N3" s="46">
        <v>0.5</v>
      </c>
      <c r="O3" s="9">
        <v>16</v>
      </c>
      <c r="P3" s="9">
        <v>2</v>
      </c>
      <c r="Q3" s="9">
        <v>2</v>
      </c>
      <c r="R3" s="9">
        <f>(Q3+P3)/2</f>
        <v>2</v>
      </c>
      <c r="T3" s="5">
        <f t="shared" ref="T3:T17" si="2">R3/(C3+1.5)</f>
        <v>0.46838407494145201</v>
      </c>
      <c r="W3" s="77">
        <f>IFERROR(VLOOKUP(W1,A2:B21,2,FALSE),-5)</f>
        <v>168.27500000000001</v>
      </c>
      <c r="X3" s="9">
        <f>IFERROR(VLOOKUP(X1,A2:B21,2,FALSE),-5)</f>
        <v>168.27500000000001</v>
      </c>
      <c r="Z3" s="9">
        <f>IFERROR(VLOOKUP(Z1,A2:B21,2,FALSE),-5)</f>
        <v>0</v>
      </c>
    </row>
    <row r="4" spans="1:26">
      <c r="A4" s="49">
        <v>0.75</v>
      </c>
      <c r="B4" s="50">
        <v>26.67</v>
      </c>
      <c r="C4" s="51">
        <v>2.87</v>
      </c>
      <c r="D4" s="51"/>
      <c r="E4" s="51">
        <v>2.87</v>
      </c>
      <c r="F4" s="6">
        <f t="shared" si="0"/>
        <v>0.65675057208237986</v>
      </c>
      <c r="I4" s="51">
        <v>3.91</v>
      </c>
      <c r="J4" s="51">
        <v>3.91</v>
      </c>
      <c r="L4" s="6">
        <f t="shared" si="1"/>
        <v>0.722735674676525</v>
      </c>
      <c r="N4" s="49">
        <v>0.75</v>
      </c>
      <c r="O4" s="9">
        <v>25</v>
      </c>
      <c r="P4" s="9">
        <v>2</v>
      </c>
      <c r="Q4" s="9">
        <v>2</v>
      </c>
      <c r="R4" s="9">
        <f t="shared" ref="R4:R17" si="3">(Q4+P4)/2</f>
        <v>2</v>
      </c>
      <c r="T4" s="5">
        <f t="shared" si="2"/>
        <v>0.45766590389016015</v>
      </c>
    </row>
    <row r="5" spans="1:26">
      <c r="A5" s="49">
        <v>1</v>
      </c>
      <c r="B5" s="50">
        <v>33.401000000000003</v>
      </c>
      <c r="C5" s="51">
        <v>3.38</v>
      </c>
      <c r="D5" s="51"/>
      <c r="E5" s="51">
        <v>3.38</v>
      </c>
      <c r="F5" s="6">
        <f t="shared" si="0"/>
        <v>0.69262295081967218</v>
      </c>
      <c r="I5" s="51">
        <v>4.55</v>
      </c>
      <c r="J5" s="51">
        <v>4.55</v>
      </c>
      <c r="L5" s="6">
        <f t="shared" si="1"/>
        <v>0.75206611570247928</v>
      </c>
      <c r="N5" s="49">
        <v>1</v>
      </c>
      <c r="O5" s="9">
        <v>30</v>
      </c>
      <c r="P5" s="9">
        <v>2.5</v>
      </c>
      <c r="Q5" s="9">
        <v>2.5</v>
      </c>
      <c r="R5" s="9">
        <f t="shared" si="3"/>
        <v>2.5</v>
      </c>
      <c r="T5" s="5">
        <f t="shared" si="2"/>
        <v>0.51229508196721307</v>
      </c>
      <c r="W5" s="6"/>
    </row>
    <row r="6" spans="1:26">
      <c r="A6" s="49">
        <v>1.25</v>
      </c>
      <c r="B6" s="50">
        <v>42.164000000000001</v>
      </c>
      <c r="C6" s="51">
        <v>3.56</v>
      </c>
      <c r="D6" s="51"/>
      <c r="E6" s="51">
        <v>3.56</v>
      </c>
      <c r="F6" s="6">
        <f t="shared" si="0"/>
        <v>0.70355731225296436</v>
      </c>
      <c r="I6" s="51">
        <v>4.8499999999999996</v>
      </c>
      <c r="J6" s="51">
        <v>4.8499999999999996</v>
      </c>
      <c r="L6" s="6">
        <f t="shared" si="1"/>
        <v>0.76377952755905509</v>
      </c>
      <c r="N6" s="49">
        <v>1.25</v>
      </c>
      <c r="O6" s="9">
        <v>38</v>
      </c>
      <c r="P6" s="9">
        <v>2.5</v>
      </c>
      <c r="Q6" s="9">
        <v>2.5</v>
      </c>
      <c r="R6" s="9">
        <f t="shared" si="3"/>
        <v>2.5</v>
      </c>
      <c r="T6" s="5">
        <f t="shared" si="2"/>
        <v>0.49407114624505927</v>
      </c>
    </row>
    <row r="7" spans="1:26">
      <c r="A7" s="49">
        <v>1.5</v>
      </c>
      <c r="B7" s="50">
        <v>48.26</v>
      </c>
      <c r="C7" s="51">
        <v>3.68</v>
      </c>
      <c r="D7" s="51"/>
      <c r="E7" s="51">
        <v>3.68</v>
      </c>
      <c r="F7" s="6">
        <f t="shared" si="0"/>
        <v>0.71042471042471045</v>
      </c>
      <c r="I7" s="51">
        <v>5.08</v>
      </c>
      <c r="J7" s="51">
        <v>5.08</v>
      </c>
      <c r="L7" s="6">
        <f t="shared" si="1"/>
        <v>0.77203647416413379</v>
      </c>
      <c r="N7" s="49">
        <v>1.5</v>
      </c>
      <c r="O7" s="9">
        <v>44.5</v>
      </c>
      <c r="P7" s="9">
        <v>2.5</v>
      </c>
      <c r="Q7" s="9">
        <v>2.5</v>
      </c>
      <c r="R7" s="9">
        <f t="shared" si="3"/>
        <v>2.5</v>
      </c>
      <c r="T7" s="5">
        <f t="shared" si="2"/>
        <v>0.48262548262548266</v>
      </c>
    </row>
    <row r="8" spans="1:26">
      <c r="A8" s="49">
        <v>2</v>
      </c>
      <c r="B8" s="50">
        <v>60.325000000000003</v>
      </c>
      <c r="C8" s="51">
        <v>3.91</v>
      </c>
      <c r="D8" s="51"/>
      <c r="E8" s="51">
        <v>3.91</v>
      </c>
      <c r="F8" s="6">
        <f t="shared" si="0"/>
        <v>0.722735674676525</v>
      </c>
      <c r="I8" s="51">
        <v>5.54</v>
      </c>
      <c r="J8" s="51">
        <v>5.54</v>
      </c>
      <c r="L8" s="6">
        <f t="shared" si="1"/>
        <v>0.78693181818181823</v>
      </c>
      <c r="N8" s="49">
        <v>2</v>
      </c>
      <c r="O8" s="9">
        <v>57</v>
      </c>
      <c r="P8" s="9">
        <v>2.5</v>
      </c>
      <c r="Q8" s="9">
        <v>2.5</v>
      </c>
      <c r="R8" s="9">
        <f t="shared" si="3"/>
        <v>2.5</v>
      </c>
      <c r="T8" s="5">
        <f t="shared" si="2"/>
        <v>0.46210720887245837</v>
      </c>
    </row>
    <row r="9" spans="1:26">
      <c r="A9" s="49">
        <v>2.5</v>
      </c>
      <c r="B9" s="50">
        <v>73.025000000000006</v>
      </c>
      <c r="C9" s="51">
        <v>5.16</v>
      </c>
      <c r="D9" s="51"/>
      <c r="E9" s="51">
        <v>5.16</v>
      </c>
      <c r="F9" s="6">
        <f t="shared" si="0"/>
        <v>0.77477477477477474</v>
      </c>
      <c r="I9" s="51">
        <v>7.01</v>
      </c>
      <c r="J9" s="51">
        <v>7.01</v>
      </c>
      <c r="L9" s="6">
        <f t="shared" si="1"/>
        <v>0.82373678025851937</v>
      </c>
      <c r="N9" s="49">
        <v>2.5</v>
      </c>
      <c r="O9" s="9">
        <v>76.099999999999994</v>
      </c>
      <c r="P9" s="9">
        <v>2.5</v>
      </c>
      <c r="Q9" s="9">
        <v>2.5</v>
      </c>
      <c r="R9" s="9">
        <f t="shared" si="3"/>
        <v>2.5</v>
      </c>
      <c r="T9" s="5">
        <f t="shared" si="2"/>
        <v>0.37537537537537535</v>
      </c>
    </row>
    <row r="10" spans="1:26">
      <c r="A10" s="52">
        <v>3</v>
      </c>
      <c r="B10" s="50">
        <v>88.9</v>
      </c>
      <c r="C10" s="51">
        <v>5.49</v>
      </c>
      <c r="D10" s="51"/>
      <c r="E10" s="51">
        <v>5.49</v>
      </c>
      <c r="F10" s="6">
        <f t="shared" si="0"/>
        <v>0.78540772532188841</v>
      </c>
      <c r="I10" s="51">
        <v>7.62</v>
      </c>
      <c r="J10" s="51">
        <v>7.62</v>
      </c>
      <c r="L10" s="6">
        <f t="shared" si="1"/>
        <v>0.83552631578947356</v>
      </c>
      <c r="N10" s="52">
        <v>3</v>
      </c>
      <c r="O10" s="9">
        <v>88.9</v>
      </c>
      <c r="P10" s="9">
        <v>2.5</v>
      </c>
      <c r="Q10" s="9">
        <v>2.5</v>
      </c>
      <c r="R10" s="9">
        <f t="shared" si="3"/>
        <v>2.5</v>
      </c>
      <c r="T10" s="5">
        <f t="shared" si="2"/>
        <v>0.35765379113018597</v>
      </c>
    </row>
    <row r="11" spans="1:26">
      <c r="A11" s="52">
        <v>3.5</v>
      </c>
      <c r="B11" s="50">
        <v>101.6</v>
      </c>
      <c r="C11" s="51">
        <v>5.74</v>
      </c>
      <c r="D11" s="51"/>
      <c r="E11" s="51">
        <v>5.74</v>
      </c>
      <c r="F11" s="6">
        <f t="shared" si="0"/>
        <v>0.79281767955801108</v>
      </c>
      <c r="I11" s="51">
        <v>8.08</v>
      </c>
      <c r="J11" s="51">
        <v>8.08</v>
      </c>
      <c r="L11" s="6">
        <f t="shared" si="1"/>
        <v>0.8434237995824635</v>
      </c>
      <c r="N11" s="52">
        <v>4</v>
      </c>
      <c r="O11" s="9">
        <v>108</v>
      </c>
      <c r="P11" s="9">
        <v>3</v>
      </c>
      <c r="Q11" s="9">
        <v>3</v>
      </c>
      <c r="R11" s="9">
        <f t="shared" si="3"/>
        <v>3</v>
      </c>
      <c r="T11" s="5">
        <f t="shared" si="2"/>
        <v>0.4143646408839779</v>
      </c>
    </row>
    <row r="12" spans="1:26">
      <c r="A12" s="52">
        <v>4</v>
      </c>
      <c r="B12" s="50">
        <v>114.3</v>
      </c>
      <c r="C12" s="51">
        <v>6.02</v>
      </c>
      <c r="D12" s="51"/>
      <c r="E12" s="51">
        <v>6.02</v>
      </c>
      <c r="F12" s="6">
        <f t="shared" si="0"/>
        <v>0.80053191489361697</v>
      </c>
      <c r="I12" s="51">
        <v>8.56</v>
      </c>
      <c r="J12" s="51">
        <v>8.56</v>
      </c>
      <c r="L12" s="6">
        <f t="shared" si="1"/>
        <v>0.85089463220675943</v>
      </c>
      <c r="N12" s="52">
        <v>6</v>
      </c>
      <c r="O12" s="9">
        <v>159</v>
      </c>
      <c r="P12" s="9">
        <v>3.5</v>
      </c>
      <c r="Q12" s="9">
        <v>3</v>
      </c>
      <c r="R12" s="9">
        <f t="shared" si="3"/>
        <v>3.25</v>
      </c>
      <c r="T12" s="5">
        <f t="shared" si="2"/>
        <v>0.43218085106382981</v>
      </c>
    </row>
    <row r="13" spans="1:26">
      <c r="A13" s="52">
        <v>5</v>
      </c>
      <c r="B13" s="50">
        <v>141.30019999999999</v>
      </c>
      <c r="C13" s="51">
        <v>6.55</v>
      </c>
      <c r="D13" s="51"/>
      <c r="E13" s="51">
        <v>6.55</v>
      </c>
      <c r="F13" s="6">
        <f t="shared" si="0"/>
        <v>0.8136645962732918</v>
      </c>
      <c r="I13" s="51">
        <v>9.5299999999999994</v>
      </c>
      <c r="J13" s="51">
        <v>9.5299999999999994</v>
      </c>
      <c r="L13" s="6">
        <f t="shared" si="1"/>
        <v>0.86400725294650949</v>
      </c>
      <c r="N13" s="52">
        <v>8</v>
      </c>
      <c r="O13" s="9">
        <v>219.1</v>
      </c>
      <c r="P13" s="9">
        <v>4.5</v>
      </c>
      <c r="Q13" s="9">
        <v>4</v>
      </c>
      <c r="R13" s="9">
        <f t="shared" si="3"/>
        <v>4.25</v>
      </c>
      <c r="T13" s="5">
        <f t="shared" si="2"/>
        <v>0.52795031055900621</v>
      </c>
    </row>
    <row r="14" spans="1:26">
      <c r="A14" s="52">
        <v>6</v>
      </c>
      <c r="B14" s="50">
        <v>168.27500000000001</v>
      </c>
      <c r="C14" s="51">
        <v>7.11</v>
      </c>
      <c r="D14" s="51"/>
      <c r="E14" s="51">
        <v>7.11</v>
      </c>
      <c r="F14" s="6">
        <f t="shared" si="0"/>
        <v>0.82578397212543564</v>
      </c>
      <c r="I14" s="51">
        <v>10.97</v>
      </c>
      <c r="J14" s="51">
        <v>10.97</v>
      </c>
      <c r="L14" s="6">
        <f t="shared" si="1"/>
        <v>0.87971130713712908</v>
      </c>
      <c r="N14" s="52">
        <v>10</v>
      </c>
      <c r="O14" s="9">
        <v>267</v>
      </c>
      <c r="P14" s="9">
        <v>5.5</v>
      </c>
      <c r="Q14" s="9">
        <v>4.5</v>
      </c>
      <c r="R14" s="9">
        <f t="shared" si="3"/>
        <v>5</v>
      </c>
      <c r="T14" s="5">
        <f t="shared" si="2"/>
        <v>0.58072009291521487</v>
      </c>
    </row>
    <row r="15" spans="1:26">
      <c r="A15" s="52">
        <v>8</v>
      </c>
      <c r="B15" s="50">
        <v>219.07499999999999</v>
      </c>
      <c r="C15" s="51">
        <v>8.18</v>
      </c>
      <c r="D15" s="51"/>
      <c r="E15" s="51">
        <v>8.18</v>
      </c>
      <c r="F15" s="6">
        <f t="shared" si="0"/>
        <v>0.8450413223140496</v>
      </c>
      <c r="I15" s="53">
        <v>12.7</v>
      </c>
      <c r="J15" s="53">
        <v>12.7</v>
      </c>
      <c r="L15" s="6">
        <f t="shared" si="1"/>
        <v>0.89436619718309862</v>
      </c>
      <c r="N15" s="52">
        <v>12</v>
      </c>
      <c r="O15" s="9">
        <v>323.89999999999998</v>
      </c>
      <c r="P15" s="9">
        <v>7</v>
      </c>
      <c r="Q15" s="9">
        <v>5.5</v>
      </c>
      <c r="R15" s="9">
        <f t="shared" si="3"/>
        <v>6.25</v>
      </c>
      <c r="T15" s="5">
        <f t="shared" si="2"/>
        <v>0.64566115702479343</v>
      </c>
    </row>
    <row r="16" spans="1:26">
      <c r="A16" s="52">
        <v>10</v>
      </c>
      <c r="B16" s="50">
        <v>273.05</v>
      </c>
      <c r="C16" s="51">
        <v>9.27</v>
      </c>
      <c r="D16" s="51"/>
      <c r="E16" s="51">
        <v>9.27</v>
      </c>
      <c r="F16" s="6">
        <f t="shared" si="0"/>
        <v>0.8607242339832869</v>
      </c>
      <c r="I16" s="51">
        <v>15.09</v>
      </c>
      <c r="J16" s="53">
        <v>12.7</v>
      </c>
      <c r="L16" s="6">
        <f t="shared" si="1"/>
        <v>0.76552139843279077</v>
      </c>
      <c r="N16" s="52">
        <v>14</v>
      </c>
      <c r="O16" s="9">
        <v>368</v>
      </c>
      <c r="P16" s="9">
        <v>8</v>
      </c>
      <c r="Q16" s="9">
        <v>6.5</v>
      </c>
      <c r="R16" s="9">
        <f t="shared" si="3"/>
        <v>7.25</v>
      </c>
      <c r="T16" s="5">
        <f t="shared" si="2"/>
        <v>0.67316620241411329</v>
      </c>
    </row>
    <row r="17" spans="1:20">
      <c r="A17" s="52">
        <v>12</v>
      </c>
      <c r="B17" s="50">
        <v>323.85000000000002</v>
      </c>
      <c r="C17" s="51">
        <v>10.31</v>
      </c>
      <c r="D17" s="51"/>
      <c r="E17" s="51">
        <v>9.5299999999999994</v>
      </c>
      <c r="F17" s="6">
        <f t="shared" si="0"/>
        <v>0.80694326841659603</v>
      </c>
      <c r="I17" s="51">
        <v>17.48</v>
      </c>
      <c r="J17" s="53">
        <v>12.7</v>
      </c>
      <c r="L17" s="6">
        <f t="shared" si="1"/>
        <v>0.66912539515279235</v>
      </c>
      <c r="N17" s="52">
        <v>16</v>
      </c>
      <c r="O17" s="9">
        <v>419</v>
      </c>
      <c r="P17" s="9">
        <v>9</v>
      </c>
      <c r="Q17" s="9">
        <v>7</v>
      </c>
      <c r="R17" s="9">
        <f t="shared" si="3"/>
        <v>8</v>
      </c>
      <c r="T17" s="5">
        <f t="shared" si="2"/>
        <v>0.67739204064352243</v>
      </c>
    </row>
    <row r="18" spans="1:20">
      <c r="A18" s="52">
        <v>14</v>
      </c>
      <c r="B18" s="50">
        <v>355.6</v>
      </c>
      <c r="C18" s="51">
        <v>11.13</v>
      </c>
      <c r="D18" s="51"/>
      <c r="E18" s="51"/>
      <c r="I18" s="51">
        <v>19.05</v>
      </c>
      <c r="J18" s="51"/>
    </row>
    <row r="19" spans="1:20">
      <c r="A19" s="52">
        <v>16</v>
      </c>
      <c r="B19" s="50">
        <v>406.4</v>
      </c>
      <c r="C19" s="53">
        <v>12.7</v>
      </c>
      <c r="D19" s="53"/>
      <c r="E19" s="51"/>
      <c r="I19" s="51">
        <v>21.44</v>
      </c>
      <c r="J19" s="51"/>
    </row>
    <row r="20" spans="1:20">
      <c r="A20" s="52">
        <v>18</v>
      </c>
      <c r="B20" s="50">
        <v>457.2</v>
      </c>
      <c r="C20" s="51">
        <v>14.27</v>
      </c>
      <c r="D20" s="51"/>
      <c r="E20" s="51"/>
      <c r="I20" s="51">
        <v>23.83</v>
      </c>
      <c r="J20" s="51"/>
    </row>
    <row r="21" spans="1:20">
      <c r="A21" s="52">
        <v>20</v>
      </c>
      <c r="B21" s="50">
        <v>508</v>
      </c>
      <c r="C21" s="51">
        <v>15.09</v>
      </c>
      <c r="D21" s="51"/>
      <c r="E21" s="51"/>
      <c r="I21" s="51">
        <v>26.19</v>
      </c>
      <c r="J21" s="51"/>
    </row>
    <row r="22" spans="1:20">
      <c r="A22" s="52">
        <v>22</v>
      </c>
      <c r="B22" s="50">
        <v>558.79999999999995</v>
      </c>
      <c r="C22" s="54"/>
      <c r="D22" s="54"/>
      <c r="E22" s="54"/>
      <c r="I22" s="51">
        <v>28.58</v>
      </c>
      <c r="J22" s="51"/>
    </row>
    <row r="23" spans="1:20">
      <c r="A23" s="52">
        <v>24</v>
      </c>
      <c r="B23" s="50">
        <v>609.6</v>
      </c>
      <c r="C23" s="51">
        <v>17.48</v>
      </c>
      <c r="D23" s="51"/>
      <c r="E23" s="51"/>
      <c r="I23" s="51">
        <v>30.96</v>
      </c>
      <c r="J23" s="51"/>
    </row>
    <row r="24" spans="1:20">
      <c r="A24" s="52">
        <v>26</v>
      </c>
      <c r="B24" s="50">
        <v>660.4</v>
      </c>
      <c r="C24" s="51"/>
      <c r="D24" s="51"/>
      <c r="E24" s="51"/>
      <c r="I24" s="51"/>
      <c r="J24" s="51"/>
    </row>
    <row r="25" spans="1:20">
      <c r="A25" s="52">
        <v>28</v>
      </c>
      <c r="B25" s="50">
        <v>711.2</v>
      </c>
      <c r="C25" s="51"/>
      <c r="D25" s="51"/>
      <c r="E25" s="51"/>
      <c r="I25" s="51"/>
      <c r="J25" s="51"/>
    </row>
    <row r="26" spans="1:20">
      <c r="A26" s="52">
        <v>30</v>
      </c>
      <c r="B26" s="50">
        <v>762</v>
      </c>
      <c r="C26" s="51"/>
      <c r="D26" s="51"/>
      <c r="E26" s="51"/>
      <c r="I26" s="51"/>
      <c r="J26" s="51"/>
    </row>
    <row r="27" spans="1:20">
      <c r="A27" s="52">
        <v>32</v>
      </c>
      <c r="B27" s="50">
        <v>812.8</v>
      </c>
      <c r="C27" s="51">
        <v>17.48</v>
      </c>
      <c r="D27" s="51"/>
      <c r="E27" s="51"/>
      <c r="I27" s="51"/>
      <c r="J27" s="51"/>
    </row>
    <row r="28" spans="1:20">
      <c r="A28" s="52">
        <v>34</v>
      </c>
      <c r="B28" s="50">
        <v>863.6</v>
      </c>
      <c r="C28" s="51">
        <v>17.48</v>
      </c>
      <c r="D28" s="51"/>
      <c r="E28" s="51"/>
      <c r="I28" s="51"/>
      <c r="J28" s="51"/>
    </row>
    <row r="29" spans="1:20">
      <c r="A29" s="52">
        <v>36</v>
      </c>
      <c r="B29" s="50">
        <v>914.4</v>
      </c>
      <c r="C29" s="51">
        <v>19.05</v>
      </c>
      <c r="D29" s="51"/>
      <c r="E29" s="51"/>
      <c r="I29" s="51"/>
      <c r="J29" s="51"/>
    </row>
    <row r="30" spans="1:20">
      <c r="A30" s="55">
        <v>38</v>
      </c>
      <c r="B30" s="56">
        <v>965.2</v>
      </c>
      <c r="C30" s="57"/>
      <c r="D30" s="57"/>
      <c r="E30" s="57"/>
      <c r="I30" s="57"/>
      <c r="J30" s="57"/>
    </row>
    <row r="31" spans="1:20">
      <c r="A31" s="52">
        <v>40</v>
      </c>
      <c r="B31" s="50">
        <v>1016</v>
      </c>
      <c r="C31" s="57"/>
      <c r="D31" s="57"/>
      <c r="E31" s="57"/>
      <c r="I31" s="57"/>
      <c r="J31" s="57"/>
    </row>
    <row r="32" spans="1:20">
      <c r="A32" s="52">
        <v>42</v>
      </c>
      <c r="B32" s="50">
        <v>1066.7999</v>
      </c>
      <c r="C32" s="57"/>
      <c r="D32" s="57"/>
      <c r="E32" s="57"/>
      <c r="I32" s="57"/>
      <c r="J32" s="57"/>
    </row>
    <row r="33" spans="1:10">
      <c r="A33" s="52">
        <v>44</v>
      </c>
      <c r="B33" s="50">
        <v>1117.5999999999999</v>
      </c>
      <c r="C33" s="57"/>
      <c r="D33" s="57"/>
      <c r="E33" s="57"/>
      <c r="I33" s="57"/>
      <c r="J33" s="57"/>
    </row>
    <row r="34" spans="1:10">
      <c r="A34" s="52">
        <v>46</v>
      </c>
      <c r="B34" s="50">
        <v>1168.4000000000001</v>
      </c>
      <c r="C34" s="57"/>
      <c r="D34" s="57"/>
      <c r="E34" s="57"/>
      <c r="I34" s="57"/>
      <c r="J34" s="57"/>
    </row>
    <row r="35" spans="1:10">
      <c r="A35" s="52">
        <v>48</v>
      </c>
      <c r="B35" s="50">
        <v>1219.2</v>
      </c>
      <c r="C35" s="57"/>
      <c r="D35" s="57"/>
      <c r="E35" s="57"/>
      <c r="I35" s="57"/>
      <c r="J35" s="57"/>
    </row>
    <row r="36" spans="1:10">
      <c r="A36" s="52">
        <v>52</v>
      </c>
      <c r="B36" s="50">
        <v>1320.8</v>
      </c>
      <c r="C36" s="57"/>
      <c r="D36" s="57"/>
      <c r="E36" s="57"/>
      <c r="I36" s="57"/>
      <c r="J36" s="57"/>
    </row>
    <row r="37" spans="1:10">
      <c r="A37" s="52">
        <v>56</v>
      </c>
      <c r="B37" s="50">
        <v>1422.4</v>
      </c>
      <c r="C37" s="57"/>
      <c r="D37" s="57"/>
      <c r="E37" s="57"/>
      <c r="I37" s="57"/>
      <c r="J37" s="57"/>
    </row>
    <row r="38" spans="1:10">
      <c r="A38" s="52">
        <v>60</v>
      </c>
      <c r="B38" s="50">
        <v>1524</v>
      </c>
      <c r="C38" s="57"/>
      <c r="D38" s="57"/>
      <c r="E38" s="57"/>
      <c r="I38" s="57"/>
      <c r="J38" s="57"/>
    </row>
    <row r="39" spans="1:10">
      <c r="A39" s="52">
        <v>64</v>
      </c>
      <c r="B39" s="50">
        <v>1625.6</v>
      </c>
      <c r="C39" s="57"/>
      <c r="D39" s="57"/>
      <c r="E39" s="57"/>
      <c r="I39" s="57"/>
      <c r="J39" s="57"/>
    </row>
    <row r="40" spans="1:10">
      <c r="A40" s="52">
        <v>66</v>
      </c>
      <c r="B40" s="50">
        <v>1676.4</v>
      </c>
      <c r="C40" s="57"/>
      <c r="D40" s="57"/>
      <c r="E40" s="57"/>
      <c r="I40" s="57"/>
      <c r="J40" s="57"/>
    </row>
    <row r="41" spans="1:10">
      <c r="A41" s="52">
        <v>68</v>
      </c>
      <c r="B41" s="50">
        <v>1727.2</v>
      </c>
      <c r="C41" s="57"/>
      <c r="D41" s="57"/>
      <c r="E41" s="57"/>
      <c r="I41" s="57"/>
      <c r="J41" s="57"/>
    </row>
    <row r="42" spans="1:10">
      <c r="A42" s="52">
        <v>72</v>
      </c>
      <c r="B42" s="50">
        <v>1828.8</v>
      </c>
      <c r="C42" s="57"/>
      <c r="D42" s="57"/>
      <c r="E42" s="57"/>
      <c r="I42" s="57"/>
      <c r="J42" s="57"/>
    </row>
    <row r="43" spans="1:10">
      <c r="A43" s="52">
        <v>76</v>
      </c>
      <c r="B43" s="50">
        <v>1930.4</v>
      </c>
      <c r="C43" s="57"/>
      <c r="D43" s="57"/>
      <c r="E43" s="57"/>
      <c r="I43" s="57"/>
      <c r="J43" s="57"/>
    </row>
    <row r="44" spans="1:10" ht="15" thickBot="1">
      <c r="A44" s="58">
        <v>80</v>
      </c>
      <c r="B44" s="59">
        <v>2032</v>
      </c>
      <c r="C44" s="60"/>
      <c r="D44" s="60"/>
      <c r="E44" s="60"/>
      <c r="I44" s="60"/>
      <c r="J44" s="60"/>
    </row>
    <row r="52" spans="1:10" ht="15.6">
      <c r="A52" s="61"/>
      <c r="B52" s="61"/>
      <c r="C52" s="61"/>
      <c r="D52" s="61"/>
      <c r="E52" s="61"/>
      <c r="I52" s="61"/>
      <c r="J52" s="61"/>
    </row>
    <row r="61" spans="1:10" ht="15.6">
      <c r="A61" s="61"/>
      <c r="B61" s="61"/>
      <c r="C61" s="61"/>
      <c r="D61" s="61"/>
      <c r="E61" s="61"/>
      <c r="I61" s="61"/>
      <c r="J61" s="61"/>
    </row>
    <row r="72" spans="1:10" ht="15.6">
      <c r="A72" s="61"/>
      <c r="B72" s="61"/>
      <c r="C72" s="61"/>
      <c r="D72" s="61"/>
      <c r="E72" s="61"/>
      <c r="I72" s="61"/>
      <c r="J72" s="61"/>
    </row>
    <row r="74" spans="1:10" ht="15.6">
      <c r="A74" s="61"/>
      <c r="B74" s="61"/>
      <c r="C74" s="61"/>
      <c r="D74" s="61"/>
      <c r="E74" s="61"/>
      <c r="I74" s="61"/>
      <c r="J74" s="61"/>
    </row>
  </sheetData>
  <mergeCells count="1">
    <mergeCell ref="N1:P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1"/>
  <sheetViews>
    <sheetView workbookViewId="0">
      <selection activeCell="E39" sqref="E39"/>
    </sheetView>
  </sheetViews>
  <sheetFormatPr defaultColWidth="8.88671875" defaultRowHeight="14.4"/>
  <cols>
    <col min="1" max="2" width="8.88671875" style="9"/>
    <col min="3" max="3" width="10" style="9" bestFit="1" customWidth="1"/>
    <col min="4" max="4" width="8.88671875" style="9"/>
    <col min="5" max="5" width="37.44140625" style="9" bestFit="1" customWidth="1"/>
    <col min="6" max="6" width="8.88671875" style="9"/>
    <col min="7" max="7" width="20.33203125" style="9" bestFit="1" customWidth="1"/>
    <col min="8" max="16384" width="8.88671875" style="9"/>
  </cols>
  <sheetData>
    <row r="1" spans="1:12">
      <c r="A1" s="42"/>
      <c r="B1" s="42" t="s">
        <v>41</v>
      </c>
      <c r="C1" s="63">
        <f>195120000*1000</f>
        <v>195120000000</v>
      </c>
      <c r="D1" s="42" t="s">
        <v>42</v>
      </c>
      <c r="E1" s="42"/>
      <c r="F1" s="42"/>
      <c r="G1" s="42"/>
      <c r="H1" s="42"/>
      <c r="I1" s="42"/>
      <c r="J1" s="42"/>
      <c r="K1" s="42"/>
      <c r="L1" s="42"/>
    </row>
    <row r="2" spans="1:12">
      <c r="A2" s="42"/>
      <c r="B2" s="42" t="s">
        <v>43</v>
      </c>
      <c r="C2" s="42">
        <v>30</v>
      </c>
      <c r="D2" s="42" t="s">
        <v>44</v>
      </c>
      <c r="E2" s="42"/>
      <c r="F2" s="42"/>
      <c r="G2" s="42"/>
      <c r="H2" s="42"/>
      <c r="I2" s="42"/>
      <c r="J2" s="42"/>
      <c r="K2" s="42"/>
      <c r="L2" s="42"/>
    </row>
    <row r="3" spans="1:12">
      <c r="A3" s="42"/>
      <c r="B3" s="42" t="s">
        <v>45</v>
      </c>
      <c r="C3" s="42">
        <v>85</v>
      </c>
      <c r="D3" s="42" t="s">
        <v>44</v>
      </c>
      <c r="E3" s="42"/>
      <c r="F3" s="42"/>
      <c r="G3" s="42"/>
      <c r="H3" s="42"/>
      <c r="I3" s="42"/>
      <c r="J3" s="42"/>
      <c r="K3" s="42"/>
      <c r="L3" s="42"/>
    </row>
    <row r="4" spans="1:12">
      <c r="A4" s="42"/>
      <c r="B4" s="42" t="s">
        <v>46</v>
      </c>
      <c r="C4" s="42">
        <f>114892*1000</f>
        <v>114892000</v>
      </c>
      <c r="D4" s="42" t="s">
        <v>42</v>
      </c>
      <c r="E4" s="42"/>
      <c r="F4" s="42"/>
      <c r="G4" s="42"/>
      <c r="H4" s="42"/>
      <c r="I4" s="42"/>
      <c r="J4" s="42"/>
      <c r="K4" s="42"/>
      <c r="L4" s="42"/>
    </row>
    <row r="5" spans="1:12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</row>
    <row r="6" spans="1:12">
      <c r="A6" s="42"/>
      <c r="B6" s="42">
        <f>SQRT((3*C1*C2*C3)/(1.25*C4+0.25*C4))</f>
        <v>2943.0055894481461</v>
      </c>
      <c r="C6" s="42" t="s">
        <v>44</v>
      </c>
      <c r="D6" s="42">
        <f>273.26*SQRT(30/25.4*C3)</f>
        <v>2737.9738498316974</v>
      </c>
      <c r="E6" s="42"/>
      <c r="F6" s="42" t="s">
        <v>44</v>
      </c>
      <c r="G6" s="42">
        <f>82*SQRT(30*85)</f>
        <v>4140.797024728452</v>
      </c>
      <c r="H6" s="42" t="s">
        <v>44</v>
      </c>
      <c r="I6" s="42">
        <f>I7*12*25.4</f>
        <v>3332.8366296594854</v>
      </c>
      <c r="J6" s="42" t="s">
        <v>44</v>
      </c>
      <c r="K6" s="42"/>
      <c r="L6" s="42"/>
    </row>
    <row r="7" spans="1:12">
      <c r="A7" s="42"/>
      <c r="B7" s="42"/>
      <c r="C7" s="42"/>
      <c r="D7" s="42"/>
      <c r="E7" s="42"/>
      <c r="F7" s="42"/>
      <c r="G7" s="42"/>
      <c r="H7" s="42"/>
      <c r="I7" s="42">
        <f>5.5*SQRT(30/25.4*85/25.4)</f>
        <v>10.93450337814792</v>
      </c>
      <c r="J7" s="42" t="s">
        <v>47</v>
      </c>
      <c r="K7" s="42"/>
      <c r="L7" s="42"/>
    </row>
    <row r="8" spans="1:12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</row>
    <row r="9" spans="1:12">
      <c r="A9" s="42"/>
      <c r="B9" s="42" t="s">
        <v>48</v>
      </c>
      <c r="C9" s="42"/>
      <c r="D9" s="42"/>
      <c r="E9" s="42"/>
      <c r="F9" s="42" t="s">
        <v>49</v>
      </c>
      <c r="G9" s="42"/>
      <c r="H9" s="42" t="s">
        <v>50</v>
      </c>
      <c r="I9" s="42"/>
      <c r="J9" s="42"/>
      <c r="K9" s="42"/>
      <c r="L9" s="42"/>
    </row>
    <row r="10" spans="1:12">
      <c r="A10" s="42"/>
      <c r="B10" s="42" t="s">
        <v>51</v>
      </c>
      <c r="C10" s="42" t="s">
        <v>52</v>
      </c>
      <c r="D10" s="42"/>
      <c r="E10" s="42"/>
      <c r="F10" s="42" t="s">
        <v>51</v>
      </c>
      <c r="G10" s="42"/>
      <c r="H10" s="42" t="s">
        <v>51</v>
      </c>
      <c r="I10" s="42"/>
      <c r="J10" s="42"/>
      <c r="K10" s="42"/>
      <c r="L10" s="42"/>
    </row>
    <row r="11" spans="1:12">
      <c r="A11" s="42"/>
      <c r="B11" s="64">
        <v>1.0737270955937801</v>
      </c>
      <c r="C11" s="42">
        <v>1.2424242424242427</v>
      </c>
      <c r="D11" s="42" t="s">
        <v>53</v>
      </c>
      <c r="E11" s="42" t="s">
        <v>54</v>
      </c>
      <c r="F11" s="42">
        <v>0.98</v>
      </c>
      <c r="G11" s="42" t="s">
        <v>55</v>
      </c>
      <c r="H11" s="42">
        <v>0.8</v>
      </c>
      <c r="I11" s="42" t="s">
        <v>53</v>
      </c>
      <c r="J11" s="42" t="s">
        <v>56</v>
      </c>
      <c r="K11" s="42"/>
      <c r="L11" s="42"/>
    </row>
    <row r="12" spans="1:12">
      <c r="A12" s="42"/>
      <c r="B12" s="64">
        <v>1.1843188342130972</v>
      </c>
      <c r="C12" s="42">
        <v>1.2424242424242427</v>
      </c>
      <c r="D12" s="42" t="s">
        <v>9</v>
      </c>
      <c r="E12" s="42"/>
      <c r="F12" s="42">
        <v>0.78</v>
      </c>
      <c r="G12" s="42"/>
      <c r="H12" s="42">
        <v>0.5</v>
      </c>
      <c r="I12" s="42"/>
      <c r="J12" s="42"/>
      <c r="K12" s="42"/>
      <c r="L12" s="42"/>
    </row>
    <row r="13" spans="1:12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</row>
    <row r="14" spans="1:12">
      <c r="A14" s="62"/>
      <c r="B14" s="62" t="s">
        <v>57</v>
      </c>
      <c r="C14" s="62" t="s">
        <v>58</v>
      </c>
      <c r="D14" s="42"/>
      <c r="E14" s="42"/>
      <c r="F14" s="42" t="s">
        <v>57</v>
      </c>
      <c r="G14" s="42" t="s">
        <v>58</v>
      </c>
      <c r="H14" s="42"/>
      <c r="I14" s="42"/>
      <c r="J14" s="42"/>
      <c r="K14" s="42"/>
      <c r="L14" s="42"/>
    </row>
    <row r="15" spans="1:12">
      <c r="A15" s="62" t="s">
        <v>59</v>
      </c>
      <c r="B15" s="62">
        <f>B11*H11</f>
        <v>0.8589816764750241</v>
      </c>
      <c r="C15" s="62">
        <f>F11*H11</f>
        <v>0.78400000000000003</v>
      </c>
      <c r="D15" s="42"/>
      <c r="E15" s="42"/>
      <c r="F15" s="65">
        <f>B11</f>
        <v>1.0737270955937801</v>
      </c>
      <c r="G15" s="65">
        <f>SQRT(F11)</f>
        <v>0.98994949366116658</v>
      </c>
      <c r="H15" s="42"/>
      <c r="I15" s="42"/>
      <c r="J15" s="42"/>
      <c r="K15" s="42"/>
      <c r="L15" s="42"/>
    </row>
    <row r="16" spans="1:12">
      <c r="A16" s="62"/>
      <c r="B16" s="62">
        <f>B12*H12</f>
        <v>0.59215941710654862</v>
      </c>
      <c r="C16" s="62">
        <f>F12*H12</f>
        <v>0.39</v>
      </c>
      <c r="D16" s="42"/>
      <c r="E16" s="42"/>
      <c r="F16" s="65">
        <f>B12</f>
        <v>1.1843188342130972</v>
      </c>
      <c r="G16" s="65">
        <f>SQRT(F12)</f>
        <v>0.88317608663278468</v>
      </c>
      <c r="H16" s="42"/>
      <c r="I16" s="42"/>
      <c r="J16" s="42"/>
      <c r="K16" s="42"/>
      <c r="L16" s="42"/>
    </row>
    <row r="17" spans="1:12">
      <c r="A17" s="62"/>
      <c r="B17" s="62"/>
      <c r="C17" s="62"/>
      <c r="D17" s="42"/>
      <c r="E17" s="42"/>
      <c r="F17" s="42"/>
      <c r="G17" s="42"/>
      <c r="H17" s="42"/>
      <c r="I17" s="42"/>
      <c r="J17" s="42"/>
      <c r="K17" s="42"/>
      <c r="L17" s="42"/>
    </row>
    <row r="18" spans="1:12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</row>
    <row r="19" spans="1:12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</row>
    <row r="20" spans="1:12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</row>
    <row r="21" spans="1:12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</row>
  </sheetData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43"/>
  <sheetViews>
    <sheetView workbookViewId="0">
      <selection activeCell="E40" sqref="E40"/>
    </sheetView>
  </sheetViews>
  <sheetFormatPr defaultColWidth="9.109375" defaultRowHeight="14.4"/>
  <cols>
    <col min="1" max="1" width="9.109375" style="9"/>
    <col min="2" max="2" width="9.5546875" style="9" customWidth="1"/>
    <col min="3" max="11" width="9.33203125" style="9" customWidth="1"/>
    <col min="12" max="12" width="9.33203125" style="9" bestFit="1" customWidth="1"/>
    <col min="13" max="13" width="9.33203125" style="9" customWidth="1"/>
    <col min="14" max="19" width="9.33203125" style="9" bestFit="1" customWidth="1"/>
    <col min="20" max="20" width="9.33203125" style="9" hidden="1" customWidth="1"/>
    <col min="21" max="16384" width="9.109375" style="9"/>
  </cols>
  <sheetData>
    <row r="1" spans="1:21" ht="15" thickBot="1">
      <c r="A1" s="43" t="s">
        <v>60</v>
      </c>
      <c r="B1" s="44" t="s">
        <v>61</v>
      </c>
      <c r="C1" s="87">
        <v>5</v>
      </c>
      <c r="D1" s="88" t="s">
        <v>93</v>
      </c>
      <c r="E1" s="45">
        <v>10</v>
      </c>
      <c r="F1" s="45" t="s">
        <v>94</v>
      </c>
      <c r="G1" s="45">
        <v>20</v>
      </c>
      <c r="H1" s="45">
        <v>30</v>
      </c>
      <c r="I1" s="45" t="s">
        <v>95</v>
      </c>
      <c r="J1" s="45">
        <v>40</v>
      </c>
      <c r="K1" s="45" t="s">
        <v>62</v>
      </c>
      <c r="L1" s="45">
        <v>60</v>
      </c>
      <c r="M1" s="45" t="s">
        <v>96</v>
      </c>
      <c r="N1" s="45">
        <v>80</v>
      </c>
      <c r="O1" s="45" t="s">
        <v>63</v>
      </c>
      <c r="P1" s="45">
        <v>100</v>
      </c>
      <c r="Q1" s="45">
        <v>120</v>
      </c>
      <c r="R1" s="45">
        <v>140</v>
      </c>
      <c r="S1" s="45">
        <v>160</v>
      </c>
      <c r="T1" s="89" t="s">
        <v>97</v>
      </c>
      <c r="U1" s="90" t="s">
        <v>98</v>
      </c>
    </row>
    <row r="2" spans="1:21" ht="15" thickTop="1">
      <c r="A2" s="46">
        <v>0.5</v>
      </c>
      <c r="B2" s="91">
        <v>21.335999999999999</v>
      </c>
      <c r="C2" s="91">
        <v>1.651</v>
      </c>
      <c r="D2" s="91">
        <v>1.651</v>
      </c>
      <c r="E2" s="91">
        <v>2.1082000000000001</v>
      </c>
      <c r="F2" s="91">
        <v>2.1082000000000001</v>
      </c>
      <c r="G2" s="91"/>
      <c r="H2" s="91">
        <v>2.4129999999999998</v>
      </c>
      <c r="I2" s="91">
        <v>2.7686000000000002</v>
      </c>
      <c r="J2" s="92">
        <v>2.7686000000000002</v>
      </c>
      <c r="K2" s="91">
        <v>2.7686000000000002</v>
      </c>
      <c r="L2" s="91"/>
      <c r="M2" s="91">
        <v>3.7338</v>
      </c>
      <c r="N2" s="91">
        <v>3.7338</v>
      </c>
      <c r="O2" s="91">
        <v>3.7338</v>
      </c>
      <c r="P2" s="91"/>
      <c r="Q2" s="91"/>
      <c r="R2" s="91"/>
      <c r="S2" s="91">
        <v>4.7751999999999999</v>
      </c>
      <c r="T2" s="91">
        <v>7.4676</v>
      </c>
      <c r="U2" s="93">
        <v>0.84</v>
      </c>
    </row>
    <row r="3" spans="1:21">
      <c r="A3" s="49">
        <v>0.75</v>
      </c>
      <c r="B3" s="91">
        <v>26.67</v>
      </c>
      <c r="C3" s="91">
        <v>1.651</v>
      </c>
      <c r="D3" s="91">
        <v>1.651</v>
      </c>
      <c r="E3" s="91">
        <v>2.1082000000000001</v>
      </c>
      <c r="F3" s="91">
        <v>2.1082000000000001</v>
      </c>
      <c r="G3" s="91"/>
      <c r="H3" s="91">
        <v>2.4129999999999998</v>
      </c>
      <c r="I3" s="91">
        <v>2.8702000000000001</v>
      </c>
      <c r="J3" s="91">
        <v>2.8702000000000001</v>
      </c>
      <c r="K3" s="91">
        <v>2.8702000000000001</v>
      </c>
      <c r="L3" s="91"/>
      <c r="M3" s="91">
        <v>3.9116</v>
      </c>
      <c r="N3" s="91">
        <v>3.9116</v>
      </c>
      <c r="O3" s="91">
        <v>3.9116</v>
      </c>
      <c r="P3" s="91"/>
      <c r="Q3" s="91"/>
      <c r="R3" s="91"/>
      <c r="S3" s="91">
        <v>5.5625999999999998</v>
      </c>
      <c r="T3" s="91">
        <v>7.8231999999999999</v>
      </c>
      <c r="U3" s="93">
        <v>1.05</v>
      </c>
    </row>
    <row r="4" spans="1:21">
      <c r="A4" s="49">
        <v>1</v>
      </c>
      <c r="B4" s="91">
        <v>33.401000000000003</v>
      </c>
      <c r="C4" s="91">
        <v>1.651</v>
      </c>
      <c r="D4" s="91">
        <v>1.651</v>
      </c>
      <c r="E4" s="91">
        <v>2.1082000000000001</v>
      </c>
      <c r="F4" s="91">
        <v>2.1082000000000001</v>
      </c>
      <c r="G4" s="91"/>
      <c r="H4" s="91">
        <v>2.8956</v>
      </c>
      <c r="I4" s="91">
        <v>3.3782000000000001</v>
      </c>
      <c r="J4" s="91">
        <v>3.3782000000000001</v>
      </c>
      <c r="K4" s="91">
        <v>3.3782000000000001</v>
      </c>
      <c r="L4" s="91"/>
      <c r="M4" s="91">
        <v>4.5465999999999998</v>
      </c>
      <c r="N4" s="91">
        <v>4.5465999999999998</v>
      </c>
      <c r="O4" s="91">
        <v>4.5465999999999998</v>
      </c>
      <c r="P4" s="91"/>
      <c r="Q4" s="91"/>
      <c r="R4" s="91"/>
      <c r="S4" s="91">
        <v>6.35</v>
      </c>
      <c r="T4" s="91">
        <v>9.0931999999999995</v>
      </c>
      <c r="U4" s="93">
        <v>1.3149999999999999</v>
      </c>
    </row>
    <row r="5" spans="1:21">
      <c r="A5" s="49">
        <v>1.25</v>
      </c>
      <c r="B5" s="91">
        <v>42.164000000000001</v>
      </c>
      <c r="C5" s="91">
        <v>1.651</v>
      </c>
      <c r="D5" s="91">
        <v>1.651</v>
      </c>
      <c r="E5" s="91">
        <v>2.1082000000000001</v>
      </c>
      <c r="F5" s="91">
        <v>2.1082000000000001</v>
      </c>
      <c r="G5" s="91"/>
      <c r="H5" s="91">
        <v>2.9718</v>
      </c>
      <c r="I5" s="91">
        <v>3.556</v>
      </c>
      <c r="J5" s="91">
        <v>3.556</v>
      </c>
      <c r="K5" s="91">
        <v>3.556</v>
      </c>
      <c r="L5" s="91"/>
      <c r="M5" s="91">
        <v>4.8513999999999999</v>
      </c>
      <c r="N5" s="91">
        <v>4.8513999999999999</v>
      </c>
      <c r="O5" s="91">
        <v>4.8513999999999999</v>
      </c>
      <c r="P5" s="91"/>
      <c r="Q5" s="91"/>
      <c r="R5" s="91"/>
      <c r="S5" s="91">
        <v>6.35</v>
      </c>
      <c r="T5" s="91">
        <v>9.7027999999999999</v>
      </c>
      <c r="U5" s="93">
        <v>1.66</v>
      </c>
    </row>
    <row r="6" spans="1:21">
      <c r="A6" s="49">
        <v>1.5</v>
      </c>
      <c r="B6" s="91">
        <v>48.26</v>
      </c>
      <c r="C6" s="91">
        <v>1.651</v>
      </c>
      <c r="D6" s="91">
        <v>1.651</v>
      </c>
      <c r="E6" s="91">
        <v>2.1082000000000001</v>
      </c>
      <c r="F6" s="91">
        <v>2.1082000000000001</v>
      </c>
      <c r="G6" s="91"/>
      <c r="H6" s="91">
        <v>3.1749999999999998</v>
      </c>
      <c r="I6" s="91">
        <v>3.6829999999999998</v>
      </c>
      <c r="J6" s="91">
        <v>3.6829999999999998</v>
      </c>
      <c r="K6" s="91">
        <v>3.6829999999999998</v>
      </c>
      <c r="L6" s="91"/>
      <c r="M6" s="91">
        <v>5.08</v>
      </c>
      <c r="N6" s="91">
        <v>5.08</v>
      </c>
      <c r="O6" s="91">
        <v>5.08</v>
      </c>
      <c r="P6" s="91"/>
      <c r="Q6" s="91"/>
      <c r="R6" s="91"/>
      <c r="S6" s="91">
        <v>7.1374000000000004</v>
      </c>
      <c r="T6" s="91">
        <v>10.16</v>
      </c>
      <c r="U6" s="93">
        <v>1.9</v>
      </c>
    </row>
    <row r="7" spans="1:21">
      <c r="A7" s="49">
        <v>2</v>
      </c>
      <c r="B7" s="91">
        <v>60.325000000000003</v>
      </c>
      <c r="C7" s="91">
        <v>1.651</v>
      </c>
      <c r="D7" s="91">
        <v>1.651</v>
      </c>
      <c r="E7" s="91">
        <v>2.1082000000000001</v>
      </c>
      <c r="F7" s="91">
        <v>2.1082000000000001</v>
      </c>
      <c r="G7" s="91"/>
      <c r="H7" s="91">
        <v>3.1749999999999998</v>
      </c>
      <c r="I7" s="91">
        <v>3.9116</v>
      </c>
      <c r="J7" s="91">
        <v>3.9116</v>
      </c>
      <c r="K7" s="91">
        <v>3.9116</v>
      </c>
      <c r="L7" s="91"/>
      <c r="M7" s="91">
        <v>5.5372000000000003</v>
      </c>
      <c r="N7" s="91">
        <v>5.5372000000000003</v>
      </c>
      <c r="O7" s="91">
        <v>5.5372000000000003</v>
      </c>
      <c r="P7" s="91"/>
      <c r="Q7" s="91"/>
      <c r="R7" s="91"/>
      <c r="S7" s="91">
        <v>8.7376000000000005</v>
      </c>
      <c r="T7" s="91">
        <v>11.074400000000001</v>
      </c>
      <c r="U7" s="93">
        <v>1.9</v>
      </c>
    </row>
    <row r="8" spans="1:21">
      <c r="A8" s="49">
        <v>2.5</v>
      </c>
      <c r="B8" s="91">
        <v>73.025000000000006</v>
      </c>
      <c r="C8" s="91">
        <v>2.1082000000000001</v>
      </c>
      <c r="D8" s="91">
        <v>2.1082000000000001</v>
      </c>
      <c r="E8" s="91">
        <v>3.048</v>
      </c>
      <c r="F8" s="91">
        <v>3.048</v>
      </c>
      <c r="G8" s="91"/>
      <c r="H8" s="91">
        <v>4.7751999999999999</v>
      </c>
      <c r="I8" s="91">
        <v>5.1562000000000001</v>
      </c>
      <c r="J8" s="91">
        <v>5.1562000000000001</v>
      </c>
      <c r="K8" s="91">
        <v>5.1562000000000001</v>
      </c>
      <c r="L8" s="91"/>
      <c r="M8" s="91">
        <v>7.0103999999999997</v>
      </c>
      <c r="N8" s="91">
        <v>7.0103999999999997</v>
      </c>
      <c r="O8" s="91">
        <v>7.0103999999999997</v>
      </c>
      <c r="P8" s="91"/>
      <c r="Q8" s="91"/>
      <c r="R8" s="91"/>
      <c r="S8" s="91">
        <v>9.5250000000000004</v>
      </c>
      <c r="T8" s="91">
        <v>14.020799999999999</v>
      </c>
      <c r="U8" s="93">
        <v>2.875</v>
      </c>
    </row>
    <row r="9" spans="1:21">
      <c r="A9" s="52">
        <v>3</v>
      </c>
      <c r="B9" s="91">
        <v>88.9</v>
      </c>
      <c r="C9" s="91">
        <v>2.1082000000000001</v>
      </c>
      <c r="D9" s="91">
        <v>2.1082000000000001</v>
      </c>
      <c r="E9" s="91">
        <v>3.048</v>
      </c>
      <c r="F9" s="91">
        <v>3.048</v>
      </c>
      <c r="G9" s="91"/>
      <c r="H9" s="91">
        <v>4.7751999999999999</v>
      </c>
      <c r="I9" s="91">
        <v>5.4863999999999997</v>
      </c>
      <c r="J9" s="91">
        <v>5.4863999999999997</v>
      </c>
      <c r="K9" s="91">
        <v>5.4863999999999997</v>
      </c>
      <c r="L9" s="91"/>
      <c r="M9" s="91">
        <v>7.62</v>
      </c>
      <c r="N9" s="91">
        <v>7.62</v>
      </c>
      <c r="O9" s="91">
        <v>7.62</v>
      </c>
      <c r="P9" s="91"/>
      <c r="Q9" s="91"/>
      <c r="R9" s="91"/>
      <c r="S9" s="91">
        <v>11.1252</v>
      </c>
      <c r="T9" s="91">
        <v>15.24</v>
      </c>
      <c r="U9" s="93">
        <v>3.5</v>
      </c>
    </row>
    <row r="10" spans="1:21">
      <c r="A10" s="52">
        <v>3.5</v>
      </c>
      <c r="B10" s="91">
        <v>101.6</v>
      </c>
      <c r="C10" s="91">
        <v>2.1082000000000001</v>
      </c>
      <c r="D10" s="91">
        <v>2.1082000000000001</v>
      </c>
      <c r="E10" s="91">
        <v>3.048</v>
      </c>
      <c r="F10" s="91">
        <v>3.048</v>
      </c>
      <c r="G10" s="91"/>
      <c r="H10" s="91">
        <v>4.7751999999999999</v>
      </c>
      <c r="I10" s="91">
        <v>5.7404000000000002</v>
      </c>
      <c r="J10" s="91">
        <v>5.7404000000000002</v>
      </c>
      <c r="K10" s="91">
        <v>5.7404000000000002</v>
      </c>
      <c r="L10" s="91"/>
      <c r="M10" s="91">
        <v>8.0771999999999995</v>
      </c>
      <c r="N10" s="91">
        <v>8.0771999999999995</v>
      </c>
      <c r="O10" s="91">
        <v>8.0771999999999995</v>
      </c>
      <c r="P10" s="91"/>
      <c r="Q10" s="91"/>
      <c r="R10" s="91"/>
      <c r="S10" s="91"/>
      <c r="T10" s="91" t="s">
        <v>99</v>
      </c>
      <c r="U10" s="93">
        <v>4</v>
      </c>
    </row>
    <row r="11" spans="1:21">
      <c r="A11" s="52">
        <v>4</v>
      </c>
      <c r="B11" s="91">
        <v>114.3</v>
      </c>
      <c r="C11" s="91">
        <v>2.1082000000000001</v>
      </c>
      <c r="D11" s="91">
        <v>2.1082000000000001</v>
      </c>
      <c r="E11" s="91">
        <v>3.048</v>
      </c>
      <c r="F11" s="91">
        <v>3.048</v>
      </c>
      <c r="G11" s="91"/>
      <c r="H11" s="91">
        <v>4.7751999999999999</v>
      </c>
      <c r="I11" s="91">
        <v>6.0198</v>
      </c>
      <c r="J11" s="91">
        <v>6.0198</v>
      </c>
      <c r="K11" s="91">
        <v>6.0198</v>
      </c>
      <c r="L11" s="91"/>
      <c r="M11" s="91">
        <v>8.5597999999999992</v>
      </c>
      <c r="N11" s="91">
        <v>8.5597999999999992</v>
      </c>
      <c r="O11" s="91">
        <v>8.5597999999999992</v>
      </c>
      <c r="P11" s="91"/>
      <c r="Q11" s="91">
        <v>11.1252</v>
      </c>
      <c r="R11" s="91"/>
      <c r="S11" s="91">
        <v>13.487399999999999</v>
      </c>
      <c r="T11" s="91">
        <v>17.119599999999998</v>
      </c>
      <c r="U11" s="93">
        <v>4.5</v>
      </c>
    </row>
    <row r="12" spans="1:21">
      <c r="A12" s="52">
        <v>5</v>
      </c>
      <c r="B12" s="91">
        <v>141.30019999999999</v>
      </c>
      <c r="C12" s="91">
        <v>2.7686000000000002</v>
      </c>
      <c r="D12" s="91">
        <v>2.7686000000000002</v>
      </c>
      <c r="E12" s="91">
        <v>3.4036</v>
      </c>
      <c r="F12" s="91">
        <v>3.4036</v>
      </c>
      <c r="G12" s="91"/>
      <c r="H12" s="91"/>
      <c r="I12" s="91">
        <v>6.5532000000000004</v>
      </c>
      <c r="J12" s="91">
        <v>6.5532000000000004</v>
      </c>
      <c r="K12" s="91">
        <v>6.5532000000000004</v>
      </c>
      <c r="L12" s="91"/>
      <c r="M12" s="91">
        <v>9.5250000000000004</v>
      </c>
      <c r="N12" s="91">
        <v>9.5250000000000004</v>
      </c>
      <c r="O12" s="91">
        <v>9.5250000000000004</v>
      </c>
      <c r="P12" s="91"/>
      <c r="Q12" s="91">
        <v>12.7</v>
      </c>
      <c r="R12" s="91"/>
      <c r="S12" s="91">
        <v>15.875</v>
      </c>
      <c r="T12" s="91">
        <v>19.05</v>
      </c>
      <c r="U12" s="93">
        <v>5.5629999999999997</v>
      </c>
    </row>
    <row r="13" spans="1:21">
      <c r="A13" s="52">
        <v>6</v>
      </c>
      <c r="B13" s="91">
        <v>168.27500000000001</v>
      </c>
      <c r="C13" s="91">
        <v>2.7686000000000002</v>
      </c>
      <c r="D13" s="91">
        <v>2.7686000000000002</v>
      </c>
      <c r="E13" s="91">
        <v>3.4036</v>
      </c>
      <c r="F13" s="91">
        <v>3.4036</v>
      </c>
      <c r="G13" s="91"/>
      <c r="H13" s="91"/>
      <c r="I13" s="91">
        <v>7.1120000000000001</v>
      </c>
      <c r="J13" s="91">
        <v>7.1120000000000001</v>
      </c>
      <c r="K13" s="91">
        <v>7.1120000000000001</v>
      </c>
      <c r="L13" s="91"/>
      <c r="M13" s="91">
        <v>10.972799999999999</v>
      </c>
      <c r="N13" s="91">
        <v>10.972799999999999</v>
      </c>
      <c r="O13" s="91">
        <v>10.972799999999999</v>
      </c>
      <c r="P13" s="91"/>
      <c r="Q13" s="91">
        <v>14.274800000000001</v>
      </c>
      <c r="R13" s="91"/>
      <c r="S13" s="91">
        <v>18.262599999999999</v>
      </c>
      <c r="T13" s="91">
        <v>21.945599999999999</v>
      </c>
      <c r="U13" s="93">
        <v>6.625</v>
      </c>
    </row>
    <row r="14" spans="1:21">
      <c r="A14" s="52">
        <v>8</v>
      </c>
      <c r="B14" s="91">
        <v>219.07499999999999</v>
      </c>
      <c r="C14" s="91">
        <v>2.7686000000000002</v>
      </c>
      <c r="D14" s="91">
        <v>2.7686000000000002</v>
      </c>
      <c r="E14" s="91">
        <v>3.7591999999999999</v>
      </c>
      <c r="F14" s="91">
        <v>3.7591999999999999</v>
      </c>
      <c r="G14" s="91">
        <v>6.35</v>
      </c>
      <c r="H14" s="91">
        <v>7.0358000000000001</v>
      </c>
      <c r="I14" s="91">
        <v>8.1788000000000007</v>
      </c>
      <c r="J14" s="91">
        <v>8.1788000000000007</v>
      </c>
      <c r="K14" s="91">
        <v>8.1788000000000007</v>
      </c>
      <c r="L14" s="91">
        <v>10.3124</v>
      </c>
      <c r="M14" s="91">
        <v>12.7</v>
      </c>
      <c r="N14" s="91">
        <v>12.7</v>
      </c>
      <c r="O14" s="91">
        <v>12.7</v>
      </c>
      <c r="P14" s="91">
        <v>15.0876</v>
      </c>
      <c r="Q14" s="91">
        <v>18.262599999999999</v>
      </c>
      <c r="R14" s="91">
        <v>20.6248</v>
      </c>
      <c r="S14" s="91">
        <v>23.0124</v>
      </c>
      <c r="T14" s="91">
        <v>22.225000000000001</v>
      </c>
      <c r="U14" s="93">
        <v>8.625</v>
      </c>
    </row>
    <row r="15" spans="1:21">
      <c r="A15" s="52">
        <v>10</v>
      </c>
      <c r="B15" s="91">
        <v>273.05</v>
      </c>
      <c r="C15" s="91">
        <v>3.4036</v>
      </c>
      <c r="D15" s="91">
        <v>3.4036</v>
      </c>
      <c r="E15" s="91">
        <v>4.1909999999999998</v>
      </c>
      <c r="F15" s="91">
        <v>4.1909999999999998</v>
      </c>
      <c r="G15" s="91">
        <v>6.35</v>
      </c>
      <c r="H15" s="91">
        <v>7.7977999999999996</v>
      </c>
      <c r="I15" s="91">
        <v>9.2710000000000008</v>
      </c>
      <c r="J15" s="91">
        <v>9.2710000000000008</v>
      </c>
      <c r="K15" s="91">
        <v>9.2710000000000008</v>
      </c>
      <c r="L15" s="91">
        <v>12.7</v>
      </c>
      <c r="M15" s="91">
        <v>12.7</v>
      </c>
      <c r="N15" s="91">
        <v>15.0876</v>
      </c>
      <c r="O15" s="91">
        <v>12.7</v>
      </c>
      <c r="P15" s="91">
        <v>18.262599999999999</v>
      </c>
      <c r="Q15" s="91">
        <v>21.4376</v>
      </c>
      <c r="R15" s="91">
        <v>25.4</v>
      </c>
      <c r="S15" s="91">
        <v>28.574999999999999</v>
      </c>
      <c r="T15" s="91">
        <v>25.4</v>
      </c>
      <c r="U15" s="93">
        <v>10.75</v>
      </c>
    </row>
    <row r="16" spans="1:21">
      <c r="A16" s="52">
        <v>12</v>
      </c>
      <c r="B16" s="91">
        <v>323.85000000000002</v>
      </c>
      <c r="C16" s="91">
        <v>3.9624000000000001</v>
      </c>
      <c r="D16" s="91">
        <v>3.9624000000000001</v>
      </c>
      <c r="E16" s="91">
        <v>4.5720000000000001</v>
      </c>
      <c r="F16" s="91">
        <v>4.5720000000000001</v>
      </c>
      <c r="G16" s="91">
        <v>6.35</v>
      </c>
      <c r="H16" s="91">
        <v>8.3819999999999997</v>
      </c>
      <c r="I16" s="91">
        <v>9.5250000000000004</v>
      </c>
      <c r="J16" s="91">
        <v>10.3124</v>
      </c>
      <c r="K16" s="91">
        <v>9.5250000000000004</v>
      </c>
      <c r="L16" s="91">
        <v>14.274800000000001</v>
      </c>
      <c r="M16" s="91">
        <v>12.7</v>
      </c>
      <c r="N16" s="91">
        <v>17.475200000000001</v>
      </c>
      <c r="O16" s="91">
        <v>12.7</v>
      </c>
      <c r="P16" s="91">
        <v>21.4376</v>
      </c>
      <c r="Q16" s="91">
        <v>25.4</v>
      </c>
      <c r="R16" s="91">
        <v>28.574999999999999</v>
      </c>
      <c r="S16" s="91">
        <v>33.324800000000003</v>
      </c>
      <c r="T16" s="91">
        <v>25.4</v>
      </c>
      <c r="U16" s="93">
        <v>12.75</v>
      </c>
    </row>
    <row r="17" spans="1:21">
      <c r="A17" s="52">
        <v>14</v>
      </c>
      <c r="B17" s="91">
        <v>355.6</v>
      </c>
      <c r="C17" s="91">
        <v>3.9624000000000001</v>
      </c>
      <c r="D17" s="91">
        <v>3.9624000000000001</v>
      </c>
      <c r="E17" s="91">
        <v>6.35</v>
      </c>
      <c r="F17" s="91">
        <v>4.7751999999999999</v>
      </c>
      <c r="G17" s="91">
        <v>7.9248000000000003</v>
      </c>
      <c r="H17" s="91">
        <v>9.5250000000000004</v>
      </c>
      <c r="I17" s="91">
        <v>9.5250000000000004</v>
      </c>
      <c r="J17" s="91">
        <v>11.1252</v>
      </c>
      <c r="K17" s="91"/>
      <c r="L17" s="91">
        <v>15.0876</v>
      </c>
      <c r="M17" s="91">
        <v>12.7</v>
      </c>
      <c r="N17" s="91">
        <v>19.05</v>
      </c>
      <c r="O17" s="91"/>
      <c r="P17" s="91">
        <v>23.825199999999999</v>
      </c>
      <c r="Q17" s="91">
        <v>27.787600000000001</v>
      </c>
      <c r="R17" s="91">
        <v>31.75</v>
      </c>
      <c r="S17" s="91">
        <v>35.712400000000002</v>
      </c>
      <c r="T17" s="91"/>
      <c r="U17" s="93">
        <v>14</v>
      </c>
    </row>
    <row r="18" spans="1:21">
      <c r="A18" s="52">
        <v>16</v>
      </c>
      <c r="B18" s="91">
        <v>406.4</v>
      </c>
      <c r="C18" s="91">
        <v>4.1909999999999998</v>
      </c>
      <c r="D18" s="91">
        <v>4.1909999999999998</v>
      </c>
      <c r="E18" s="91">
        <v>6.35</v>
      </c>
      <c r="F18" s="91">
        <v>4.7751999999999999</v>
      </c>
      <c r="G18" s="91">
        <v>7.9248000000000003</v>
      </c>
      <c r="H18" s="91">
        <v>9.5250000000000004</v>
      </c>
      <c r="I18" s="91">
        <v>9.5250000000000004</v>
      </c>
      <c r="J18" s="91">
        <v>12.7</v>
      </c>
      <c r="K18" s="91"/>
      <c r="L18" s="91">
        <v>16.662400000000002</v>
      </c>
      <c r="M18" s="91">
        <v>12.7</v>
      </c>
      <c r="N18" s="91">
        <v>21.4376</v>
      </c>
      <c r="O18" s="91"/>
      <c r="P18" s="91">
        <v>26.1874</v>
      </c>
      <c r="Q18" s="91">
        <v>30.962599999999998</v>
      </c>
      <c r="R18" s="91">
        <v>36.525199999999998</v>
      </c>
      <c r="S18" s="91">
        <v>40.4876</v>
      </c>
      <c r="T18" s="91"/>
      <c r="U18" s="93">
        <v>16</v>
      </c>
    </row>
    <row r="19" spans="1:21">
      <c r="A19" s="52">
        <v>18</v>
      </c>
      <c r="B19" s="91">
        <v>457.2</v>
      </c>
      <c r="C19" s="91">
        <v>4.1909999999999998</v>
      </c>
      <c r="D19" s="91">
        <v>4.1909999999999998</v>
      </c>
      <c r="E19" s="91">
        <v>6.35</v>
      </c>
      <c r="F19" s="91">
        <v>4.7751999999999999</v>
      </c>
      <c r="G19" s="91">
        <v>7.9248000000000003</v>
      </c>
      <c r="H19" s="91">
        <v>11.1252</v>
      </c>
      <c r="I19" s="91">
        <v>9.5250000000000004</v>
      </c>
      <c r="J19" s="91">
        <v>14.274800000000001</v>
      </c>
      <c r="K19" s="91"/>
      <c r="L19" s="91">
        <v>19.05</v>
      </c>
      <c r="M19" s="91">
        <v>12.7</v>
      </c>
      <c r="N19" s="91">
        <v>23.825199999999999</v>
      </c>
      <c r="O19" s="91"/>
      <c r="P19" s="91">
        <v>29.362400000000001</v>
      </c>
      <c r="Q19" s="91">
        <v>34.924999999999997</v>
      </c>
      <c r="R19" s="91">
        <v>39.674799999999998</v>
      </c>
      <c r="S19" s="91">
        <v>45.237400000000001</v>
      </c>
      <c r="T19" s="91"/>
      <c r="U19" s="93">
        <v>18</v>
      </c>
    </row>
    <row r="20" spans="1:21">
      <c r="A20" s="52">
        <v>20</v>
      </c>
      <c r="B20" s="91">
        <v>508</v>
      </c>
      <c r="C20" s="91">
        <v>4.7751999999999999</v>
      </c>
      <c r="D20" s="91">
        <v>4.7751999999999999</v>
      </c>
      <c r="E20" s="91">
        <v>6.35</v>
      </c>
      <c r="F20" s="91">
        <v>5.5372000000000003</v>
      </c>
      <c r="G20" s="91">
        <v>9.5250000000000004</v>
      </c>
      <c r="H20" s="91">
        <v>12.7</v>
      </c>
      <c r="I20" s="91">
        <v>9.5250000000000004</v>
      </c>
      <c r="J20" s="91">
        <v>15.0876</v>
      </c>
      <c r="K20" s="91"/>
      <c r="L20" s="91">
        <v>20.6248</v>
      </c>
      <c r="M20" s="91">
        <v>12.7</v>
      </c>
      <c r="N20" s="91">
        <v>26.1874</v>
      </c>
      <c r="O20" s="91"/>
      <c r="P20" s="91">
        <v>32.537399999999998</v>
      </c>
      <c r="Q20" s="91">
        <v>38.1</v>
      </c>
      <c r="R20" s="91">
        <v>44.45</v>
      </c>
      <c r="S20" s="91">
        <v>50.012599999999999</v>
      </c>
      <c r="T20" s="91"/>
      <c r="U20" s="93">
        <v>20</v>
      </c>
    </row>
    <row r="21" spans="1:21">
      <c r="A21" s="52">
        <v>22</v>
      </c>
      <c r="B21" s="91">
        <v>558.79999999999995</v>
      </c>
      <c r="C21" s="91">
        <v>4.7751999999999999</v>
      </c>
      <c r="D21" s="91">
        <v>4.7751999999999999</v>
      </c>
      <c r="E21" s="91">
        <v>6.35</v>
      </c>
      <c r="F21" s="91">
        <v>5.5372000000000003</v>
      </c>
      <c r="G21" s="91">
        <v>9.5250000000000004</v>
      </c>
      <c r="H21" s="91">
        <v>12.7</v>
      </c>
      <c r="I21" s="91">
        <v>9.5250000000000004</v>
      </c>
      <c r="J21" s="91"/>
      <c r="K21" s="91"/>
      <c r="L21" s="91">
        <v>22.225000000000001</v>
      </c>
      <c r="M21" s="91">
        <v>12.7</v>
      </c>
      <c r="N21" s="91">
        <v>28.574999999999999</v>
      </c>
      <c r="O21" s="91"/>
      <c r="P21" s="91">
        <v>34.924999999999997</v>
      </c>
      <c r="Q21" s="91">
        <v>41.274999999999999</v>
      </c>
      <c r="R21" s="91">
        <v>47.625</v>
      </c>
      <c r="S21" s="91">
        <v>53.975000000000001</v>
      </c>
      <c r="T21" s="91"/>
      <c r="U21" s="93">
        <v>22</v>
      </c>
    </row>
    <row r="22" spans="1:21">
      <c r="A22" s="52">
        <v>24</v>
      </c>
      <c r="B22" s="91">
        <v>609.6</v>
      </c>
      <c r="C22" s="91">
        <v>5.5372000000000003</v>
      </c>
      <c r="D22" s="91">
        <v>5.5372000000000003</v>
      </c>
      <c r="E22" s="91">
        <v>6.35</v>
      </c>
      <c r="F22" s="91">
        <v>6.35</v>
      </c>
      <c r="G22" s="91">
        <v>9.5250000000000004</v>
      </c>
      <c r="H22" s="91">
        <v>14.274800000000001</v>
      </c>
      <c r="I22" s="91">
        <v>9.5250000000000004</v>
      </c>
      <c r="J22" s="91">
        <v>17.475200000000001</v>
      </c>
      <c r="K22" s="91"/>
      <c r="L22" s="91">
        <v>24.6126</v>
      </c>
      <c r="M22" s="91">
        <v>12.7</v>
      </c>
      <c r="N22" s="91">
        <v>30.962599999999998</v>
      </c>
      <c r="O22" s="91"/>
      <c r="P22" s="91">
        <v>38.8874</v>
      </c>
      <c r="Q22" s="91">
        <v>46.024799999999999</v>
      </c>
      <c r="R22" s="91">
        <v>52.3748</v>
      </c>
      <c r="S22" s="91">
        <v>59.537599999999998</v>
      </c>
      <c r="T22" s="91"/>
      <c r="U22" s="93">
        <v>24</v>
      </c>
    </row>
    <row r="23" spans="1:21">
      <c r="A23" s="52">
        <v>26</v>
      </c>
      <c r="B23" s="91">
        <v>660.4</v>
      </c>
      <c r="C23" s="91"/>
      <c r="D23" s="91"/>
      <c r="E23" s="91">
        <v>7.9248000000000003</v>
      </c>
      <c r="F23" s="91"/>
      <c r="G23" s="91">
        <v>12.7</v>
      </c>
      <c r="H23" s="91"/>
      <c r="I23" s="91">
        <v>9.5250000000000004</v>
      </c>
      <c r="J23" s="91"/>
      <c r="K23" s="91"/>
      <c r="L23" s="91"/>
      <c r="M23" s="91">
        <v>12.7</v>
      </c>
      <c r="N23" s="91"/>
      <c r="O23" s="91"/>
      <c r="P23" s="91"/>
      <c r="Q23" s="91"/>
      <c r="R23" s="91"/>
      <c r="S23" s="91"/>
      <c r="T23" s="91"/>
      <c r="U23" s="93">
        <v>26</v>
      </c>
    </row>
    <row r="24" spans="1:21">
      <c r="A24" s="52">
        <v>28</v>
      </c>
      <c r="B24" s="91">
        <v>711.2</v>
      </c>
      <c r="C24" s="91"/>
      <c r="D24" s="91"/>
      <c r="E24" s="91">
        <v>7.9248000000000003</v>
      </c>
      <c r="F24" s="91"/>
      <c r="G24" s="91">
        <v>12.7</v>
      </c>
      <c r="H24" s="91">
        <v>15.875</v>
      </c>
      <c r="I24" s="91">
        <v>9.5250000000000004</v>
      </c>
      <c r="J24" s="91"/>
      <c r="K24" s="91"/>
      <c r="L24" s="91"/>
      <c r="M24" s="91">
        <v>12.7</v>
      </c>
      <c r="N24" s="91"/>
      <c r="O24" s="91"/>
      <c r="P24" s="91"/>
      <c r="Q24" s="91"/>
      <c r="R24" s="91"/>
      <c r="S24" s="91"/>
      <c r="T24" s="91"/>
      <c r="U24" s="93">
        <v>28</v>
      </c>
    </row>
    <row r="25" spans="1:21">
      <c r="A25" s="52">
        <v>30</v>
      </c>
      <c r="B25" s="91">
        <v>762</v>
      </c>
      <c r="C25" s="91">
        <v>6.35</v>
      </c>
      <c r="D25" s="91">
        <v>6.35</v>
      </c>
      <c r="E25" s="91">
        <v>7.9248000000000003</v>
      </c>
      <c r="F25" s="91">
        <v>7.9248000000000003</v>
      </c>
      <c r="G25" s="91">
        <v>12.7</v>
      </c>
      <c r="H25" s="91">
        <v>15.875</v>
      </c>
      <c r="I25" s="91">
        <v>9.5250000000000004</v>
      </c>
      <c r="J25" s="91"/>
      <c r="K25" s="91"/>
      <c r="L25" s="91"/>
      <c r="M25" s="91">
        <v>12.7</v>
      </c>
      <c r="N25" s="91"/>
      <c r="O25" s="91"/>
      <c r="P25" s="91"/>
      <c r="Q25" s="91"/>
      <c r="R25" s="91"/>
      <c r="S25" s="91"/>
      <c r="T25" s="91"/>
      <c r="U25" s="93">
        <v>30</v>
      </c>
    </row>
    <row r="26" spans="1:21">
      <c r="A26" s="52">
        <v>32</v>
      </c>
      <c r="B26" s="91">
        <v>812.8</v>
      </c>
      <c r="C26" s="91"/>
      <c r="D26" s="91"/>
      <c r="E26" s="91">
        <v>7.9248000000000003</v>
      </c>
      <c r="F26" s="91"/>
      <c r="G26" s="91">
        <v>12.7</v>
      </c>
      <c r="H26" s="91">
        <v>15.875</v>
      </c>
      <c r="I26" s="91">
        <v>9.5250000000000004</v>
      </c>
      <c r="J26" s="91">
        <v>17.475200000000001</v>
      </c>
      <c r="K26" s="91"/>
      <c r="L26" s="91"/>
      <c r="M26" s="91">
        <v>12.7</v>
      </c>
      <c r="N26" s="91"/>
      <c r="O26" s="91"/>
      <c r="P26" s="91"/>
      <c r="Q26" s="91"/>
      <c r="R26" s="91"/>
      <c r="S26" s="91"/>
      <c r="T26" s="91"/>
      <c r="U26" s="93">
        <v>32</v>
      </c>
    </row>
    <row r="27" spans="1:21">
      <c r="A27" s="52">
        <v>34</v>
      </c>
      <c r="B27" s="91">
        <v>863.6</v>
      </c>
      <c r="C27" s="91"/>
      <c r="D27" s="91"/>
      <c r="E27" s="91">
        <v>7.9248000000000003</v>
      </c>
      <c r="F27" s="91"/>
      <c r="G27" s="91">
        <v>12.7</v>
      </c>
      <c r="H27" s="91">
        <v>15.875</v>
      </c>
      <c r="I27" s="91">
        <v>9.5250000000000004</v>
      </c>
      <c r="J27" s="91">
        <v>17.475200000000001</v>
      </c>
      <c r="K27" s="91"/>
      <c r="L27" s="91"/>
      <c r="M27" s="91">
        <v>12.7</v>
      </c>
      <c r="N27" s="91"/>
      <c r="O27" s="91"/>
      <c r="P27" s="91"/>
      <c r="Q27" s="91"/>
      <c r="R27" s="91"/>
      <c r="S27" s="91"/>
      <c r="T27" s="91"/>
      <c r="U27" s="93">
        <v>34</v>
      </c>
    </row>
    <row r="28" spans="1:21">
      <c r="A28" s="52">
        <v>36</v>
      </c>
      <c r="B28" s="91">
        <v>914.4</v>
      </c>
      <c r="C28" s="91"/>
      <c r="D28" s="91"/>
      <c r="E28" s="91">
        <v>7.9248000000000003</v>
      </c>
      <c r="F28" s="91"/>
      <c r="G28" s="91">
        <v>12.7</v>
      </c>
      <c r="H28" s="91">
        <v>15.875</v>
      </c>
      <c r="I28" s="91">
        <v>9.5250000000000004</v>
      </c>
      <c r="J28" s="91">
        <v>19.05</v>
      </c>
      <c r="K28" s="91"/>
      <c r="L28" s="91"/>
      <c r="M28" s="91">
        <v>12.7</v>
      </c>
      <c r="N28" s="91"/>
      <c r="O28" s="91"/>
      <c r="P28" s="91"/>
      <c r="Q28" s="91"/>
      <c r="R28" s="91"/>
      <c r="S28" s="91"/>
      <c r="T28" s="91"/>
      <c r="U28" s="93">
        <v>36</v>
      </c>
    </row>
    <row r="29" spans="1:21">
      <c r="A29" s="55">
        <v>38</v>
      </c>
      <c r="B29" s="91">
        <v>965.2</v>
      </c>
      <c r="C29" s="91"/>
      <c r="D29" s="91"/>
      <c r="E29" s="91"/>
      <c r="F29" s="91"/>
      <c r="G29" s="91"/>
      <c r="H29" s="91"/>
      <c r="I29" s="91">
        <v>9.5250000000000004</v>
      </c>
      <c r="J29" s="91"/>
      <c r="K29" s="91"/>
      <c r="L29" s="91"/>
      <c r="M29" s="91">
        <v>12.7</v>
      </c>
      <c r="N29" s="91"/>
      <c r="O29" s="91"/>
      <c r="P29" s="91"/>
      <c r="Q29" s="91"/>
      <c r="R29" s="91"/>
      <c r="S29" s="91"/>
      <c r="T29" s="91"/>
      <c r="U29" s="93">
        <v>38</v>
      </c>
    </row>
    <row r="30" spans="1:21">
      <c r="A30" s="52">
        <v>40</v>
      </c>
      <c r="B30" s="91">
        <v>1016</v>
      </c>
      <c r="C30" s="91"/>
      <c r="D30" s="91"/>
      <c r="E30" s="91"/>
      <c r="F30" s="91"/>
      <c r="G30" s="91"/>
      <c r="H30" s="91"/>
      <c r="I30" s="91">
        <v>9.5250000000000004</v>
      </c>
      <c r="J30" s="91"/>
      <c r="K30" s="91"/>
      <c r="L30" s="91"/>
      <c r="M30" s="91">
        <v>12.7</v>
      </c>
      <c r="N30" s="91"/>
      <c r="O30" s="91"/>
      <c r="P30" s="91"/>
      <c r="Q30" s="91"/>
      <c r="R30" s="91"/>
      <c r="S30" s="91"/>
      <c r="T30" s="91"/>
      <c r="U30" s="93">
        <v>40</v>
      </c>
    </row>
    <row r="31" spans="1:21">
      <c r="A31" s="52">
        <v>42</v>
      </c>
      <c r="B31" s="91">
        <v>1066.7999</v>
      </c>
      <c r="C31" s="91"/>
      <c r="D31" s="91"/>
      <c r="E31" s="91"/>
      <c r="F31" s="91"/>
      <c r="G31" s="91"/>
      <c r="H31" s="91"/>
      <c r="I31" s="91">
        <v>9.5250000000000004</v>
      </c>
      <c r="J31" s="91"/>
      <c r="K31" s="91"/>
      <c r="L31" s="91"/>
      <c r="M31" s="91">
        <v>12.7</v>
      </c>
      <c r="N31" s="91"/>
      <c r="O31" s="91"/>
      <c r="P31" s="91"/>
      <c r="Q31" s="91"/>
      <c r="R31" s="91"/>
      <c r="S31" s="91"/>
      <c r="T31" s="91"/>
      <c r="U31" s="93">
        <v>42</v>
      </c>
    </row>
    <row r="32" spans="1:21">
      <c r="A32" s="52">
        <v>44</v>
      </c>
      <c r="B32" s="91">
        <v>1117.5999999999999</v>
      </c>
      <c r="C32" s="91"/>
      <c r="D32" s="91"/>
      <c r="E32" s="91"/>
      <c r="F32" s="91"/>
      <c r="G32" s="91"/>
      <c r="H32" s="91"/>
      <c r="I32" s="91">
        <v>9.5250000000000004</v>
      </c>
      <c r="J32" s="91"/>
      <c r="K32" s="91"/>
      <c r="L32" s="91"/>
      <c r="M32" s="91">
        <v>12.7</v>
      </c>
      <c r="N32" s="91"/>
      <c r="O32" s="91"/>
      <c r="P32" s="91"/>
      <c r="Q32" s="91"/>
      <c r="R32" s="91"/>
      <c r="S32" s="91"/>
      <c r="T32" s="91"/>
      <c r="U32" s="93">
        <v>44</v>
      </c>
    </row>
    <row r="33" spans="1:21">
      <c r="A33" s="52">
        <v>46</v>
      </c>
      <c r="B33" s="91">
        <v>1168.4000000000001</v>
      </c>
      <c r="C33" s="91"/>
      <c r="D33" s="91"/>
      <c r="E33" s="91"/>
      <c r="F33" s="91"/>
      <c r="G33" s="91"/>
      <c r="H33" s="91"/>
      <c r="I33" s="91">
        <v>9.5250000000000004</v>
      </c>
      <c r="J33" s="91"/>
      <c r="K33" s="91"/>
      <c r="L33" s="91"/>
      <c r="M33" s="91">
        <v>12.7</v>
      </c>
      <c r="N33" s="91"/>
      <c r="O33" s="91"/>
      <c r="P33" s="91"/>
      <c r="Q33" s="91"/>
      <c r="R33" s="91"/>
      <c r="S33" s="91"/>
      <c r="T33" s="91"/>
      <c r="U33" s="93">
        <v>46</v>
      </c>
    </row>
    <row r="34" spans="1:21">
      <c r="A34" s="52">
        <v>48</v>
      </c>
      <c r="B34" s="91">
        <v>1219.2</v>
      </c>
      <c r="C34" s="91"/>
      <c r="D34" s="91"/>
      <c r="E34" s="91"/>
      <c r="F34" s="91"/>
      <c r="G34" s="91"/>
      <c r="H34" s="91"/>
      <c r="I34" s="91">
        <v>9.5250000000000004</v>
      </c>
      <c r="J34" s="91"/>
      <c r="K34" s="91"/>
      <c r="L34" s="91"/>
      <c r="M34" s="91">
        <v>12.7</v>
      </c>
      <c r="N34" s="91"/>
      <c r="O34" s="91"/>
      <c r="P34" s="91"/>
      <c r="Q34" s="91"/>
      <c r="R34" s="91"/>
      <c r="S34" s="91"/>
      <c r="T34" s="91"/>
      <c r="U34" s="93">
        <v>48</v>
      </c>
    </row>
    <row r="35" spans="1:21">
      <c r="A35" s="52">
        <v>52</v>
      </c>
      <c r="B35" s="91">
        <v>1320.8</v>
      </c>
      <c r="C35" s="91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3">
        <v>52</v>
      </c>
    </row>
    <row r="36" spans="1:21">
      <c r="A36" s="52">
        <v>56</v>
      </c>
      <c r="B36" s="91">
        <v>1422.4</v>
      </c>
      <c r="C36" s="91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93">
        <v>56</v>
      </c>
    </row>
    <row r="37" spans="1:21">
      <c r="A37" s="52">
        <v>60</v>
      </c>
      <c r="B37" s="91">
        <v>1524</v>
      </c>
      <c r="C37" s="91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3">
        <v>60</v>
      </c>
    </row>
    <row r="38" spans="1:21">
      <c r="A38" s="52">
        <v>64</v>
      </c>
      <c r="B38" s="91">
        <v>1625.6</v>
      </c>
      <c r="C38" s="91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  <c r="U38" s="93">
        <v>64</v>
      </c>
    </row>
    <row r="39" spans="1:21">
      <c r="A39" s="52">
        <v>66</v>
      </c>
      <c r="B39" s="91">
        <v>1676.4</v>
      </c>
      <c r="C39" s="91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93">
        <v>66</v>
      </c>
    </row>
    <row r="40" spans="1:21">
      <c r="A40" s="52">
        <v>68</v>
      </c>
      <c r="B40" s="91">
        <v>1727.2</v>
      </c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3">
        <v>68</v>
      </c>
    </row>
    <row r="41" spans="1:21">
      <c r="A41" s="52">
        <v>72</v>
      </c>
      <c r="B41" s="91">
        <v>1828.8</v>
      </c>
      <c r="C41" s="91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  <c r="U41" s="93">
        <v>72</v>
      </c>
    </row>
    <row r="42" spans="1:21">
      <c r="A42" s="52">
        <v>76</v>
      </c>
      <c r="B42" s="91">
        <v>1930.4</v>
      </c>
      <c r="C42" s="91"/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3">
        <v>76</v>
      </c>
    </row>
    <row r="43" spans="1:21" ht="15" thickBot="1">
      <c r="A43" s="58">
        <v>80</v>
      </c>
      <c r="B43" s="91">
        <v>2032</v>
      </c>
      <c r="C43" s="91"/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91"/>
      <c r="S43" s="91"/>
      <c r="T43" s="91"/>
      <c r="U43" s="93">
        <v>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tabSelected="1" workbookViewId="0">
      <selection activeCell="C12" sqref="C12"/>
    </sheetView>
  </sheetViews>
  <sheetFormatPr defaultRowHeight="14.4"/>
  <sheetData>
    <row r="1" spans="1:5">
      <c r="A1" s="99"/>
      <c r="B1" s="99"/>
      <c r="C1" s="99"/>
      <c r="D1" s="99"/>
      <c r="E1" s="99"/>
    </row>
    <row r="2" spans="1:5">
      <c r="A2" s="99"/>
      <c r="B2" s="99"/>
      <c r="C2" s="99"/>
      <c r="D2" s="99"/>
      <c r="E2" s="99"/>
    </row>
    <row r="3" spans="1:5">
      <c r="A3" s="99"/>
      <c r="B3" s="99"/>
      <c r="C3" s="99"/>
      <c r="D3" s="99"/>
      <c r="E3" s="99"/>
    </row>
    <row r="4" spans="1:5">
      <c r="A4" s="99"/>
      <c r="B4" s="99"/>
      <c r="C4" s="99"/>
      <c r="D4" s="99"/>
      <c r="E4" s="99"/>
    </row>
    <row r="5" spans="1:5">
      <c r="A5" s="99"/>
      <c r="B5" s="99"/>
      <c r="C5" s="99"/>
      <c r="D5" s="99"/>
      <c r="E5" s="99"/>
    </row>
    <row r="6" spans="1:5">
      <c r="A6" s="99"/>
      <c r="B6" s="99"/>
      <c r="C6" s="99"/>
      <c r="D6" s="99"/>
      <c r="E6" s="99"/>
    </row>
    <row r="7" spans="1:5">
      <c r="A7" s="99"/>
      <c r="B7" s="99"/>
      <c r="C7" s="99"/>
      <c r="D7" s="99"/>
      <c r="E7" s="99"/>
    </row>
    <row r="8" spans="1:5">
      <c r="A8" s="99"/>
      <c r="B8" s="99"/>
      <c r="C8" s="99"/>
      <c r="D8" s="99"/>
      <c r="E8" s="99"/>
    </row>
    <row r="9" spans="1:5">
      <c r="A9" s="99"/>
      <c r="B9" s="99"/>
      <c r="C9" s="99"/>
      <c r="D9" s="99"/>
      <c r="E9" s="99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236220</xdr:colOff>
                    <xdr:row>2</xdr:row>
                    <xdr:rowOff>137160</xdr:rowOff>
                  </from>
                  <to>
                    <xdr:col>3</xdr:col>
                    <xdr:colOff>594360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Flexibility Check</vt:lpstr>
      <vt:lpstr>B31.3 Values</vt:lpstr>
      <vt:lpstr>k</vt:lpstr>
      <vt:lpstr>Thk ratios</vt:lpstr>
      <vt:lpstr>SS Cu-Ni factors</vt:lpstr>
      <vt:lpstr>CS Thk</vt:lpstr>
      <vt:lpstr>Spreadsheet for Flexibility Chk</vt:lpstr>
      <vt:lpstr>Def</vt:lpstr>
      <vt:lpstr>elbow</vt:lpstr>
      <vt:lpstr>elbow_def</vt:lpstr>
      <vt:lpstr>lgth</vt:lpstr>
      <vt:lpstr>ltrl</vt:lpstr>
      <vt:lpstr>ltrl_def</vt:lpstr>
      <vt:lpstr>mtrl</vt:lpstr>
      <vt:lpstr>mtrl_def</vt:lpstr>
      <vt:lpstr>nps</vt:lpstr>
      <vt:lpstr>nps_def</vt:lpstr>
      <vt:lpstr>reducer</vt:lpstr>
      <vt:lpstr>reducer_def</vt:lpstr>
      <vt:lpstr>result</vt:lpstr>
      <vt:lpstr>result_2</vt:lpstr>
      <vt:lpstr>result_2_def</vt:lpstr>
      <vt:lpstr>result_def</vt:lpstr>
      <vt:lpstr>temp</vt:lpstr>
      <vt:lpstr>temp_def</vt:lpstr>
      <vt:lpstr>temp1</vt:lpstr>
    </vt:vector>
  </TitlesOfParts>
  <Company>Petrofac Int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Lakshmanan K</dc:creator>
  <cp:lastModifiedBy>Lakshmanan K</cp:lastModifiedBy>
  <cp:lastPrinted>2016-07-14T11:53:39Z</cp:lastPrinted>
  <dcterms:created xsi:type="dcterms:W3CDTF">2015-11-09T11:39:33Z</dcterms:created>
  <dcterms:modified xsi:type="dcterms:W3CDTF">2016-12-08T10:42:01Z</dcterms:modified>
</cp:coreProperties>
</file>